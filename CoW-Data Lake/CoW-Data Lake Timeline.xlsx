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C:\Users\bichn\Downloads\CoW-Data Lake\"/>
    </mc:Choice>
  </mc:AlternateContent>
  <xr:revisionPtr revIDLastSave="0" documentId="13_ncr:1_{095F0A40-0B6B-4243-B340-04D39EBCD0C8}" xr6:coauthVersionLast="47" xr6:coauthVersionMax="47" xr10:uidLastSave="{00000000-0000-0000-0000-000000000000}"/>
  <bookViews>
    <workbookView xWindow="-90" yWindow="0" windowWidth="11380" windowHeight="13370" xr2:uid="{00000000-000D-0000-FFFF-FFFF00000000}"/>
  </bookViews>
  <sheets>
    <sheet name="Project schedule" sheetId="13" r:id="rId1"/>
  </sheets>
  <definedNames>
    <definedName name="Display_Week" localSheetId="0">'Project schedule'!$R$2</definedName>
    <definedName name="Display_Week">#REF!</definedName>
    <definedName name="_xlnm.Print_Titles" localSheetId="0">'Project schedule'!$4:$6</definedName>
    <definedName name="Project_Start" localSheetId="0">'Project schedule'!$R$1</definedName>
    <definedName name="Project_Start">#REF!</definedName>
    <definedName name="task_end" localSheetId="0">'Project schedule'!$G1</definedName>
    <definedName name="task_progress" localSheetId="0">'Project schedule'!$E1</definedName>
    <definedName name="task_start" localSheetId="0">'Project schedule'!$F1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3" l="1"/>
  <c r="F17" i="13"/>
  <c r="G17" i="13" s="1"/>
  <c r="F18" i="13" s="1"/>
  <c r="F13" i="13"/>
  <c r="F12" i="13"/>
  <c r="E9" i="13"/>
  <c r="E14" i="13"/>
  <c r="E20" i="13"/>
  <c r="I50" i="13"/>
  <c r="I49" i="13"/>
  <c r="I43" i="13"/>
  <c r="I37" i="13"/>
  <c r="I31" i="13"/>
  <c r="I25" i="13"/>
  <c r="I8" i="13"/>
  <c r="I7" i="13"/>
  <c r="R1" i="13"/>
  <c r="J5" i="13" l="1"/>
  <c r="J6" i="13" l="1"/>
  <c r="K5" i="13"/>
  <c r="J4" i="13"/>
  <c r="F32" i="13"/>
  <c r="G32" i="13" l="1"/>
  <c r="F33" i="13" s="1"/>
  <c r="F38" i="13"/>
  <c r="I9" i="13"/>
  <c r="K6" i="13"/>
  <c r="L5" i="13"/>
  <c r="F16" i="13" l="1"/>
  <c r="F44" i="13"/>
  <c r="F41" i="13"/>
  <c r="G38" i="13"/>
  <c r="F39" i="13" s="1"/>
  <c r="F42" i="13"/>
  <c r="L6" i="13"/>
  <c r="M5" i="13"/>
  <c r="F34" i="13"/>
  <c r="G33" i="13"/>
  <c r="I33" i="13"/>
  <c r="I32" i="13"/>
  <c r="I14" i="13"/>
  <c r="I15" i="13" l="1"/>
  <c r="G16" i="13"/>
  <c r="G34" i="13"/>
  <c r="F35" i="13" s="1"/>
  <c r="F36" i="13"/>
  <c r="M6" i="13"/>
  <c r="N5" i="13"/>
  <c r="G42" i="13"/>
  <c r="I42" i="13" s="1"/>
  <c r="G39" i="13"/>
  <c r="F40" i="13" s="1"/>
  <c r="G41" i="13"/>
  <c r="I41" i="13" s="1"/>
  <c r="I38" i="13"/>
  <c r="G44" i="13"/>
  <c r="F45" i="13" s="1"/>
  <c r="F48" i="13"/>
  <c r="F47" i="13"/>
  <c r="I16" i="13" l="1"/>
  <c r="I24" i="13"/>
  <c r="F26" i="13"/>
  <c r="G36" i="13"/>
  <c r="I36" i="13" s="1"/>
  <c r="G35" i="13"/>
  <c r="I35" i="13" s="1"/>
  <c r="I34" i="13"/>
  <c r="G47" i="13"/>
  <c r="I47" i="13" s="1"/>
  <c r="G40" i="13"/>
  <c r="I40" i="13" s="1"/>
  <c r="G48" i="13"/>
  <c r="I48" i="13" s="1"/>
  <c r="I39" i="13"/>
  <c r="G45" i="13"/>
  <c r="F46" i="13" s="1"/>
  <c r="I44" i="13"/>
  <c r="N6" i="13"/>
  <c r="O5" i="13"/>
  <c r="G26" i="13" l="1"/>
  <c r="I26" i="13" s="1"/>
  <c r="F27" i="13"/>
  <c r="G27" i="13" s="1"/>
  <c r="F28" i="13" s="1"/>
  <c r="F29" i="13" s="1"/>
  <c r="I45" i="13"/>
  <c r="P5" i="13"/>
  <c r="O6" i="13"/>
  <c r="G46" i="13"/>
  <c r="I46" i="13" s="1"/>
  <c r="G28" i="13" l="1"/>
  <c r="I28" i="13" s="1"/>
  <c r="I27" i="13"/>
  <c r="F30" i="13"/>
  <c r="G29" i="13"/>
  <c r="I29" i="13" s="1"/>
  <c r="P6" i="13"/>
  <c r="Q5" i="13"/>
  <c r="R5" i="13" l="1"/>
  <c r="Q6" i="13"/>
  <c r="Q4" i="13"/>
  <c r="G30" i="13"/>
  <c r="I30" i="13" s="1"/>
  <c r="S5" i="13" l="1"/>
  <c r="R6" i="13"/>
  <c r="T5" i="13" l="1"/>
  <c r="S6" i="13"/>
  <c r="U5" i="13" l="1"/>
  <c r="T6" i="13"/>
  <c r="V5" i="13" l="1"/>
  <c r="U6" i="13"/>
  <c r="V6" i="13" l="1"/>
  <c r="W5" i="13"/>
  <c r="W6" i="13" l="1"/>
  <c r="X5" i="13"/>
  <c r="X6" i="13" l="1"/>
  <c r="X4" i="13"/>
  <c r="Y5" i="13"/>
  <c r="Y6" i="13" l="1"/>
  <c r="Z5" i="13"/>
  <c r="Z6" i="13" l="1"/>
  <c r="AA5" i="13"/>
  <c r="AB5" i="13" l="1"/>
  <c r="AA6" i="13"/>
  <c r="AC5" i="13" l="1"/>
  <c r="AB6" i="13"/>
  <c r="AD5" i="13" l="1"/>
  <c r="AC6" i="13"/>
  <c r="AE5" i="13" l="1"/>
  <c r="AD6" i="13"/>
  <c r="AF5" i="13" l="1"/>
  <c r="AE4" i="13"/>
  <c r="AE6" i="13"/>
  <c r="AG5" i="13" l="1"/>
  <c r="AF6" i="13"/>
  <c r="AH5" i="13" l="1"/>
  <c r="AG6" i="13"/>
  <c r="AH6" i="13" l="1"/>
  <c r="AI5" i="13"/>
  <c r="AI6" i="13" l="1"/>
  <c r="AJ5" i="13"/>
  <c r="AJ6" i="13" l="1"/>
  <c r="AK5" i="13"/>
  <c r="AK6" i="13" l="1"/>
  <c r="AL5" i="13"/>
  <c r="AL6" i="13" l="1"/>
  <c r="AL4" i="13"/>
  <c r="AM5" i="13"/>
  <c r="AM6" i="13" l="1"/>
  <c r="AN5" i="13"/>
  <c r="AO5" i="13" l="1"/>
  <c r="AN6" i="13"/>
  <c r="AP5" i="13" l="1"/>
  <c r="AO6" i="13"/>
  <c r="AQ5" i="13" l="1"/>
  <c r="AP6" i="13"/>
  <c r="AR5" i="13" l="1"/>
  <c r="AQ6" i="13"/>
  <c r="AS5" i="13" l="1"/>
  <c r="AR6" i="13"/>
  <c r="AT5" i="13" l="1"/>
  <c r="AS4" i="13"/>
  <c r="AS6" i="13"/>
  <c r="AT6" i="13" l="1"/>
  <c r="AU5" i="13"/>
  <c r="AU6" i="13" l="1"/>
  <c r="AV5" i="13"/>
  <c r="AV6" i="13" l="1"/>
  <c r="AW5" i="13"/>
  <c r="AW6" i="13" l="1"/>
  <c r="AX5" i="13"/>
  <c r="AX6" i="13" l="1"/>
  <c r="AY5" i="13"/>
  <c r="AZ5" i="13" l="1"/>
  <c r="AY6" i="13"/>
  <c r="AZ4" i="13" l="1"/>
  <c r="BA5" i="13"/>
  <c r="AZ6" i="13"/>
  <c r="BB5" i="13" l="1"/>
  <c r="BA6" i="13"/>
  <c r="BC5" i="13" l="1"/>
  <c r="BB6" i="13"/>
  <c r="BD5" i="13" l="1"/>
  <c r="BC6" i="13"/>
  <c r="BE5" i="13" l="1"/>
  <c r="BD6" i="13"/>
  <c r="BF5" i="13" l="1"/>
  <c r="BE6" i="13"/>
  <c r="BF6" i="13" l="1"/>
  <c r="BG5" i="13"/>
  <c r="BG4" i="13" l="1"/>
  <c r="BG6" i="13"/>
  <c r="BH5" i="13"/>
  <c r="BH6" i="13" l="1"/>
  <c r="BI5" i="13"/>
  <c r="BI6" i="13" l="1"/>
  <c r="BJ5" i="13"/>
  <c r="BJ6" i="13" l="1"/>
  <c r="BK5" i="13"/>
  <c r="BK6" i="13" l="1"/>
  <c r="BL5" i="13"/>
  <c r="BL6" i="13" l="1"/>
  <c r="BM5" i="13"/>
  <c r="BM6" i="13" s="1"/>
</calcChain>
</file>

<file path=xl/sharedStrings.xml><?xml version="1.0" encoding="utf-8"?>
<sst xmlns="http://schemas.openxmlformats.org/spreadsheetml/2006/main" count="42" uniqueCount="39">
  <si>
    <t>Insert new rows ABOVE this one</t>
  </si>
  <si>
    <t>PROGRESS</t>
  </si>
  <si>
    <t>START</t>
  </si>
  <si>
    <t>END</t>
  </si>
  <si>
    <t>TASK</t>
  </si>
  <si>
    <t xml:space="preserve">Do not delete this row. This row is hidden to preserve a formula that is used to highlight the current day within the project schedule. </t>
  </si>
  <si>
    <t>Project lead</t>
  </si>
  <si>
    <t>Project start:</t>
  </si>
  <si>
    <t>Display week:</t>
  </si>
  <si>
    <t>ASSIGNED TO</t>
  </si>
  <si>
    <t xml:space="preserve">Data Governance </t>
  </si>
  <si>
    <t>Data Governance and System Requirements Review</t>
  </si>
  <si>
    <t>Development of Data Storage and Analysis Environment</t>
  </si>
  <si>
    <t>Public Survey Data Analysis</t>
  </si>
  <si>
    <t>Power BI Dashboard Development</t>
  </si>
  <si>
    <t>City of Wichita</t>
  </si>
  <si>
    <t>1. Conduct a comprehensive review of the CoW’s Data Governance framework to ensure alignment with industry standards</t>
  </si>
  <si>
    <t>Map governance rules to technical requirements</t>
  </si>
  <si>
    <t>1.3 Draft Initial findings on the governance framework</t>
  </si>
  <si>
    <t>1.4 Draft the Data Governance review report.</t>
  </si>
  <si>
    <t>3. Finalization and Delivery</t>
  </si>
  <si>
    <t>3.1 Check the governance report for technical feasibility, and the system requirements for compliance</t>
  </si>
  <si>
    <t>3.2 Incorporate feedback from the peer review and finalize the documents</t>
  </si>
  <si>
    <t>3.3 Prepare a joint presentation summarizing the findings and recommendations from both deliverables for the CoW</t>
  </si>
  <si>
    <t>1.1 Collect and begin reviewing all existing data governance documentation from the CoW</t>
  </si>
  <si>
    <t>1.2 Identify the key industry standards and regulations relevant to the CoW's operations</t>
  </si>
  <si>
    <t>2. Analyze system requirements for a revamped data storage and analysis environment in collaboration with CoW’s IT department</t>
  </si>
  <si>
    <t>Initial Summary</t>
  </si>
  <si>
    <t>Summary of industry standard</t>
  </si>
  <si>
    <t>Draft version</t>
  </si>
  <si>
    <t>Link to Deliverable Folder</t>
  </si>
  <si>
    <r>
      <t xml:space="preserve">DELIVERABLE
</t>
    </r>
    <r>
      <rPr>
        <i/>
        <sz val="10"/>
        <color theme="1"/>
        <rFont val="Arial"/>
        <family val="2"/>
        <scheme val="minor"/>
      </rPr>
      <t>(create a Team Folder and upload your Deliverable for each task and attach the link in appropriate cells below for team reference)</t>
    </r>
  </si>
  <si>
    <t>Data Storage Requirement</t>
  </si>
  <si>
    <t>Data User Access &amp; Security Control Requirement</t>
  </si>
  <si>
    <t>2.1 Collect all existing technical documentation (e.g., architecture diagrams, system inventories)</t>
  </si>
  <si>
    <t>2.2 Identify current storage systems how data is stored, ingested, and managed (e.g., databases, data lakes, cloud infrastructure, ETL pipelines)</t>
  </si>
  <si>
    <t>2.3 Identify current data anlysis &amp; security how data is used and secured (e.g., analytics tools, BI dashboards, access controls, encryption, logging)</t>
  </si>
  <si>
    <t>2.4 Consolidate findings to present diagram of the current system architecture and its main pain points</t>
  </si>
  <si>
    <t xml:space="preserve">2.5 Draft the detailed system requirements document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</si>
</sst>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2"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9"/>
      <color theme="0"/>
      <name val="Arial"/>
      <family val="2"/>
      <scheme val="minor"/>
    </font>
    <font>
      <b/>
      <sz val="9"/>
      <color theme="1"/>
      <name val="Arial"/>
      <family val="2"/>
      <scheme val="minor"/>
    </font>
    <font>
      <b/>
      <sz val="9"/>
      <name val="Arial"/>
      <family val="2"/>
      <scheme val="minor"/>
    </font>
    <font>
      <sz val="9"/>
      <name val="Arial"/>
      <family val="2"/>
      <scheme val="minor"/>
    </font>
    <font>
      <sz val="9"/>
      <color theme="1"/>
      <name val="Arial"/>
      <family val="2"/>
      <scheme val="minor"/>
    </font>
    <font>
      <i/>
      <sz val="9"/>
      <color theme="1"/>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9"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32">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9" fillId="0" borderId="0" xfId="3"/>
    <xf numFmtId="0" fontId="9" fillId="0" borderId="0" xfId="3" applyAlignment="1">
      <alignment wrapText="1"/>
    </xf>
    <xf numFmtId="0" fontId="9" fillId="0" borderId="0" xfId="0" applyFont="1" applyAlignment="1">
      <alignment horizontal="center"/>
    </xf>
    <xf numFmtId="0" fontId="7" fillId="0" borderId="0" xfId="0" applyFont="1"/>
    <xf numFmtId="0" fontId="3" fillId="0" borderId="0" xfId="0" applyFont="1" applyAlignment="1">
      <alignment horizontal="center" vertical="center"/>
    </xf>
    <xf numFmtId="0" fontId="11" fillId="0" borderId="0" xfId="0" applyFont="1"/>
    <xf numFmtId="0" fontId="10" fillId="0" borderId="0" xfId="0" applyFont="1"/>
    <xf numFmtId="0" fontId="10" fillId="0" borderId="0" xfId="0" applyFont="1" applyAlignment="1">
      <alignment horizontal="center"/>
    </xf>
    <xf numFmtId="0" fontId="10" fillId="0" borderId="0" xfId="0" applyFont="1" applyAlignment="1">
      <alignment horizontal="center" vertical="center"/>
    </xf>
    <xf numFmtId="0" fontId="12" fillId="0" borderId="0" xfId="0" applyFont="1"/>
    <xf numFmtId="0" fontId="12" fillId="0" borderId="0" xfId="0" applyFont="1" applyAlignment="1">
      <alignment horizontal="center"/>
    </xf>
    <xf numFmtId="0" fontId="13" fillId="0" borderId="0" xfId="0" applyFont="1"/>
    <xf numFmtId="0" fontId="14"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17" fillId="12" borderId="20" xfId="0" applyNumberFormat="1" applyFont="1" applyFill="1" applyBorder="1" applyAlignment="1">
      <alignment horizontal="center" vertical="center"/>
    </xf>
    <xf numFmtId="167" fontId="17" fillId="12" borderId="18" xfId="0" applyNumberFormat="1" applyFont="1" applyFill="1" applyBorder="1" applyAlignment="1">
      <alignment horizontal="center" vertical="center"/>
    </xf>
    <xf numFmtId="167" fontId="17" fillId="12" borderId="19" xfId="0" applyNumberFormat="1" applyFont="1" applyFill="1" applyBorder="1" applyAlignment="1">
      <alignment horizontal="center" vertical="center"/>
    </xf>
    <xf numFmtId="0" fontId="18" fillId="2" borderId="17" xfId="0" applyFont="1" applyFill="1" applyBorder="1" applyAlignment="1">
      <alignment horizontal="center" vertical="center" shrinkToFit="1"/>
    </xf>
    <xf numFmtId="0" fontId="18" fillId="2" borderId="14" xfId="0" applyFont="1" applyFill="1" applyBorder="1" applyAlignment="1">
      <alignment horizontal="center" vertical="center" shrinkToFit="1"/>
    </xf>
    <xf numFmtId="0" fontId="18" fillId="2" borderId="15" xfId="0" applyFont="1" applyFill="1" applyBorder="1" applyAlignment="1">
      <alignment horizontal="center" vertical="center" shrinkToFit="1"/>
    </xf>
    <xf numFmtId="0" fontId="15" fillId="0" borderId="0" xfId="0" applyFont="1"/>
    <xf numFmtId="0" fontId="15" fillId="0" borderId="0" xfId="0" applyFont="1" applyAlignment="1">
      <alignment wrapText="1"/>
    </xf>
    <xf numFmtId="0" fontId="4" fillId="0" borderId="3" xfId="0" applyFont="1" applyBorder="1" applyAlignment="1">
      <alignment vertical="center"/>
    </xf>
    <xf numFmtId="0" fontId="19" fillId="6" borderId="0" xfId="0" applyFont="1" applyFill="1" applyAlignment="1">
      <alignment horizontal="left" vertical="center" indent="1"/>
    </xf>
    <xf numFmtId="0" fontId="15" fillId="6" borderId="0" xfId="11" applyFont="1" applyFill="1" applyBorder="1" applyAlignment="1">
      <alignment vertical="center"/>
    </xf>
    <xf numFmtId="9" fontId="1" fillId="6" borderId="0" xfId="2" applyFont="1" applyFill="1" applyBorder="1" applyAlignment="1">
      <alignment horizontal="center" vertical="center"/>
    </xf>
    <xf numFmtId="164" fontId="15"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4" fillId="0" borderId="4" xfId="0" applyFont="1" applyBorder="1" applyAlignment="1">
      <alignment vertical="center"/>
    </xf>
    <xf numFmtId="0" fontId="4" fillId="0" borderId="4" xfId="0" applyFont="1" applyBorder="1" applyAlignment="1">
      <alignment horizontal="right" vertical="center"/>
    </xf>
    <xf numFmtId="0" fontId="19" fillId="7" borderId="0" xfId="0" applyFont="1" applyFill="1" applyAlignment="1">
      <alignment horizontal="left" vertical="center" indent="1"/>
    </xf>
    <xf numFmtId="0" fontId="15" fillId="7" borderId="0" xfId="11" applyFont="1" applyFill="1" applyBorder="1" applyAlignment="1">
      <alignment vertical="center"/>
    </xf>
    <xf numFmtId="9" fontId="1" fillId="7" borderId="0" xfId="2" applyFont="1" applyFill="1" applyBorder="1" applyAlignment="1">
      <alignment horizontal="center" vertical="center"/>
    </xf>
    <xf numFmtId="164" fontId="15"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5" fillId="4" borderId="5" xfId="12" applyFont="1" applyFill="1" applyBorder="1">
      <alignment horizontal="left" vertical="center" indent="2"/>
    </xf>
    <xf numFmtId="0" fontId="15" fillId="4" borderId="5" xfId="11" applyFont="1" applyFill="1" applyBorder="1" applyAlignment="1">
      <alignment vertical="center"/>
    </xf>
    <xf numFmtId="9" fontId="1" fillId="4" borderId="5" xfId="2" applyFont="1" applyFill="1" applyBorder="1" applyAlignment="1">
      <alignment horizontal="center" vertical="center"/>
    </xf>
    <xf numFmtId="164" fontId="15" fillId="4" borderId="5" xfId="10" applyFont="1" applyFill="1" applyBorder="1">
      <alignment horizontal="center" vertical="center"/>
    </xf>
    <xf numFmtId="0" fontId="19" fillId="8" borderId="0" xfId="0" applyFont="1" applyFill="1" applyAlignment="1">
      <alignment horizontal="left" vertical="center" indent="1"/>
    </xf>
    <xf numFmtId="0" fontId="15" fillId="8" borderId="0" xfId="11" applyFont="1" applyFill="1" applyBorder="1" applyAlignment="1">
      <alignment vertical="center"/>
    </xf>
    <xf numFmtId="9" fontId="1" fillId="8" borderId="0" xfId="2" applyFont="1" applyFill="1" applyBorder="1" applyAlignment="1">
      <alignment horizontal="center" vertical="center"/>
    </xf>
    <xf numFmtId="164" fontId="15"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5" fillId="5" borderId="8" xfId="12" applyFont="1" applyFill="1" applyBorder="1">
      <alignment horizontal="left" vertical="center" indent="2"/>
    </xf>
    <xf numFmtId="0" fontId="15" fillId="5" borderId="8" xfId="11" applyFont="1" applyFill="1" applyBorder="1" applyAlignment="1">
      <alignment vertical="center"/>
    </xf>
    <xf numFmtId="9" fontId="1" fillId="5" borderId="8" xfId="2" applyFont="1" applyFill="1" applyBorder="1" applyAlignment="1">
      <alignment horizontal="center" vertical="center"/>
    </xf>
    <xf numFmtId="164" fontId="15" fillId="5" borderId="8" xfId="10" applyFont="1" applyFill="1" applyBorder="1">
      <alignment horizontal="center" vertical="center"/>
    </xf>
    <xf numFmtId="0" fontId="19" fillId="9" borderId="0" xfId="0" applyFont="1" applyFill="1" applyAlignment="1">
      <alignment horizontal="left" vertical="center" indent="1"/>
    </xf>
    <xf numFmtId="0" fontId="15" fillId="9" borderId="0" xfId="11" applyFont="1" applyFill="1" applyBorder="1" applyAlignment="1">
      <alignment vertical="center"/>
    </xf>
    <xf numFmtId="9" fontId="1" fillId="9" borderId="0" xfId="2" applyFont="1" applyFill="1" applyBorder="1" applyAlignment="1">
      <alignment horizontal="center" vertical="center"/>
    </xf>
    <xf numFmtId="164" fontId="15"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5" fillId="10" borderId="9" xfId="12" applyFont="1" applyFill="1" applyBorder="1">
      <alignment horizontal="left" vertical="center" indent="2"/>
    </xf>
    <xf numFmtId="0" fontId="15" fillId="10" borderId="9" xfId="11" applyFont="1" applyFill="1" applyBorder="1" applyAlignment="1">
      <alignment vertical="center"/>
    </xf>
    <xf numFmtId="9" fontId="1" fillId="10" borderId="9" xfId="2" applyFont="1" applyFill="1" applyBorder="1" applyAlignment="1">
      <alignment horizontal="center" vertical="center"/>
    </xf>
    <xf numFmtId="164" fontId="15" fillId="10" borderId="9" xfId="10" applyFont="1" applyFill="1" applyBorder="1">
      <alignment horizontal="center" vertical="center"/>
    </xf>
    <xf numFmtId="0" fontId="15" fillId="0" borderId="0" xfId="12" applyFont="1" applyBorder="1">
      <alignment horizontal="left" vertical="center" indent="2"/>
    </xf>
    <xf numFmtId="0" fontId="15" fillId="0" borderId="0" xfId="11" applyFont="1" applyBorder="1" applyAlignment="1">
      <alignment vertical="center"/>
    </xf>
    <xf numFmtId="9" fontId="1" fillId="0" borderId="0" xfId="2" applyFont="1" applyBorder="1" applyAlignment="1">
      <alignment horizontal="center" vertical="center"/>
    </xf>
    <xf numFmtId="164" fontId="15" fillId="0" borderId="0" xfId="10" applyFont="1" applyBorder="1">
      <alignment horizontal="center" vertical="center"/>
    </xf>
    <xf numFmtId="0" fontId="20" fillId="2" borderId="0" xfId="0" applyFont="1" applyFill="1" applyAlignment="1">
      <alignment horizontal="left" vertical="center" indent="1"/>
    </xf>
    <xf numFmtId="0" fontId="20" fillId="2" borderId="0" xfId="0" applyFont="1" applyFill="1" applyAlignment="1">
      <alignment vertical="center"/>
    </xf>
    <xf numFmtId="9" fontId="1" fillId="2" borderId="0" xfId="2" applyFont="1" applyFill="1" applyBorder="1" applyAlignment="1">
      <alignment horizontal="center" vertical="center"/>
    </xf>
    <xf numFmtId="164" fontId="21"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2" fillId="0" borderId="0" xfId="6" applyFont="1" applyAlignment="1">
      <alignment horizontal="left" vertical="center" indent="1"/>
    </xf>
    <xf numFmtId="0" fontId="22" fillId="0" borderId="0" xfId="7" applyFont="1" applyAlignment="1">
      <alignment horizontal="left" vertical="center" indent="1"/>
    </xf>
    <xf numFmtId="0" fontId="25" fillId="0" borderId="0" xfId="5" applyFont="1" applyAlignment="1">
      <alignment horizontal="left"/>
    </xf>
    <xf numFmtId="0" fontId="26" fillId="0" borderId="0" xfId="3" applyFont="1" applyAlignment="1">
      <alignment wrapText="1"/>
    </xf>
    <xf numFmtId="0" fontId="27" fillId="3" borderId="6" xfId="11" applyFont="1" applyFill="1" applyBorder="1" applyAlignment="1">
      <alignment vertical="center"/>
    </xf>
    <xf numFmtId="0" fontId="27" fillId="3" borderId="6" xfId="11" applyFont="1" applyFill="1" applyBorder="1" applyAlignment="1">
      <alignment vertical="center" wrapText="1"/>
    </xf>
    <xf numFmtId="9" fontId="28" fillId="3" borderId="6" xfId="2" applyFont="1" applyFill="1" applyBorder="1" applyAlignment="1">
      <alignment horizontal="center" vertical="center"/>
    </xf>
    <xf numFmtId="164" fontId="27" fillId="3" borderId="6" xfId="10" applyFont="1" applyFill="1" applyBorder="1">
      <alignment horizontal="center" vertical="center"/>
    </xf>
    <xf numFmtId="0" fontId="29" fillId="0" borderId="0" xfId="0" applyFont="1" applyAlignment="1">
      <alignment horizontal="center" vertical="center"/>
    </xf>
    <xf numFmtId="0" fontId="29" fillId="0" borderId="1" xfId="0" applyFont="1" applyBorder="1" applyAlignment="1">
      <alignment horizontal="center" vertical="center"/>
    </xf>
    <xf numFmtId="0" fontId="30" fillId="0" borderId="4" xfId="0" applyFont="1" applyBorder="1" applyAlignment="1">
      <alignment vertical="center"/>
    </xf>
    <xf numFmtId="0" fontId="30" fillId="0" borderId="0" xfId="0" applyFont="1" applyAlignment="1">
      <alignment vertical="center"/>
    </xf>
    <xf numFmtId="0" fontId="30" fillId="3" borderId="6" xfId="12" applyFont="1" applyFill="1" applyBorder="1">
      <alignment horizontal="left" vertical="center" indent="2"/>
    </xf>
    <xf numFmtId="0" fontId="30" fillId="3" borderId="6" xfId="11" applyFont="1" applyFill="1" applyBorder="1" applyAlignment="1">
      <alignment vertical="center"/>
    </xf>
    <xf numFmtId="9" fontId="29" fillId="3" borderId="6" xfId="2" applyFont="1" applyFill="1" applyBorder="1" applyAlignment="1">
      <alignment horizontal="center" vertical="center"/>
    </xf>
    <xf numFmtId="164" fontId="30" fillId="3" borderId="7" xfId="10" applyFont="1" applyFill="1" applyBorder="1">
      <alignment horizontal="center" vertical="center"/>
    </xf>
    <xf numFmtId="0" fontId="27" fillId="3" borderId="7" xfId="11" applyFont="1" applyFill="1" applyBorder="1" applyAlignment="1">
      <alignment vertical="center"/>
    </xf>
    <xf numFmtId="164" fontId="27" fillId="3" borderId="7" xfId="10" applyFont="1" applyFill="1" applyBorder="1">
      <alignment horizontal="center" vertical="center"/>
    </xf>
    <xf numFmtId="0" fontId="30" fillId="0" borderId="4" xfId="0" applyFont="1" applyBorder="1" applyAlignment="1">
      <alignment horizontal="right" vertical="center"/>
    </xf>
    <xf numFmtId="0" fontId="26" fillId="0" borderId="0" xfId="3" applyFont="1"/>
    <xf numFmtId="0" fontId="30" fillId="3" borderId="7" xfId="12" applyFont="1" applyFill="1" applyBorder="1">
      <alignment horizontal="left" vertical="center" indent="2"/>
    </xf>
    <xf numFmtId="0" fontId="30" fillId="3" borderId="7" xfId="11" applyFont="1" applyFill="1" applyBorder="1" applyAlignment="1">
      <alignment vertical="center"/>
    </xf>
    <xf numFmtId="9" fontId="29" fillId="3" borderId="7" xfId="2" applyFont="1" applyFill="1" applyBorder="1" applyAlignment="1">
      <alignment horizontal="center" vertical="center"/>
    </xf>
    <xf numFmtId="0" fontId="30" fillId="3" borderId="0" xfId="12" applyFont="1" applyFill="1" applyBorder="1">
      <alignment horizontal="left" vertical="center" indent="2"/>
    </xf>
    <xf numFmtId="0" fontId="30" fillId="3" borderId="0" xfId="11" applyFont="1" applyFill="1" applyBorder="1" applyAlignment="1">
      <alignment vertical="center"/>
    </xf>
    <xf numFmtId="9" fontId="29" fillId="3" borderId="0" xfId="2" applyFont="1" applyFill="1" applyBorder="1" applyAlignment="1">
      <alignment horizontal="center" vertical="center"/>
    </xf>
    <xf numFmtId="164" fontId="30" fillId="3" borderId="0" xfId="10" applyFont="1" applyFill="1" applyBorder="1">
      <alignment horizontal="center" vertical="center"/>
    </xf>
    <xf numFmtId="0" fontId="30" fillId="0" borderId="0" xfId="0" applyFont="1" applyAlignment="1">
      <alignment horizontal="right" vertical="center"/>
    </xf>
    <xf numFmtId="0" fontId="27" fillId="3" borderId="7" xfId="12" applyFont="1" applyFill="1" applyBorder="1">
      <alignment horizontal="left" vertical="center" indent="2"/>
    </xf>
    <xf numFmtId="9" fontId="28" fillId="3" borderId="7" xfId="2" applyFont="1" applyFill="1" applyBorder="1" applyAlignment="1">
      <alignment horizontal="center" vertical="center"/>
    </xf>
    <xf numFmtId="0" fontId="27" fillId="3" borderId="6" xfId="12" applyFont="1" applyFill="1" applyBorder="1">
      <alignment horizontal="left" vertical="center" indent="2"/>
    </xf>
    <xf numFmtId="0" fontId="31" fillId="3" borderId="6" xfId="11" applyFont="1" applyFill="1" applyBorder="1" applyAlignment="1">
      <alignment vertical="center"/>
    </xf>
    <xf numFmtId="0" fontId="2" fillId="3" borderId="6" xfId="1" applyFill="1" applyBorder="1" applyAlignment="1" applyProtection="1">
      <alignment vertical="center" wrapText="1"/>
    </xf>
    <xf numFmtId="0" fontId="2" fillId="6" borderId="0" xfId="1" applyFill="1" applyBorder="1" applyAlignment="1" applyProtection="1">
      <alignment vertical="center"/>
    </xf>
    <xf numFmtId="0" fontId="2" fillId="3" borderId="6" xfId="1" applyFill="1" applyBorder="1" applyAlignment="1" applyProtection="1">
      <alignment vertical="center"/>
    </xf>
    <xf numFmtId="0" fontId="22" fillId="0" borderId="0" xfId="8" applyFont="1" applyAlignment="1">
      <alignment horizontal="left"/>
    </xf>
    <xf numFmtId="0" fontId="4" fillId="0" borderId="0" xfId="0" applyFont="1"/>
    <xf numFmtId="165" fontId="23" fillId="0" borderId="0" xfId="9" applyFont="1" applyBorder="1" applyAlignment="1">
      <alignment horizontal="left"/>
    </xf>
    <xf numFmtId="0" fontId="24" fillId="0" borderId="0" xfId="0" applyFont="1"/>
    <xf numFmtId="0" fontId="23" fillId="0" borderId="0" xfId="0" applyFont="1" applyAlignment="1">
      <alignment horizontal="left"/>
    </xf>
    <xf numFmtId="166" fontId="15" fillId="2" borderId="18" xfId="0" applyNumberFormat="1" applyFont="1" applyFill="1" applyBorder="1" applyAlignment="1">
      <alignment horizontal="center" vertical="center" wrapText="1"/>
    </xf>
    <xf numFmtId="166" fontId="15" fillId="2" borderId="13" xfId="0" applyNumberFormat="1" applyFont="1" applyFill="1" applyBorder="1" applyAlignment="1">
      <alignment horizontal="center" vertical="center" wrapText="1"/>
    </xf>
    <xf numFmtId="166" fontId="15" fillId="2" borderId="19" xfId="0" applyNumberFormat="1" applyFont="1" applyFill="1" applyBorder="1" applyAlignment="1">
      <alignment horizontal="center" vertical="center" wrapText="1"/>
    </xf>
    <xf numFmtId="0" fontId="9" fillId="0" borderId="0" xfId="3" applyAlignment="1">
      <alignment wrapText="1"/>
    </xf>
    <xf numFmtId="0" fontId="16"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16" fillId="11" borderId="16" xfId="0" applyFont="1" applyFill="1" applyBorder="1" applyAlignment="1">
      <alignment vertical="center"/>
    </xf>
    <xf numFmtId="0" fontId="4" fillId="2" borderId="21" xfId="0" applyFont="1" applyFill="1" applyBorder="1"/>
    <xf numFmtId="0" fontId="16" fillId="11" borderId="16" xfId="0" applyFont="1" applyFill="1" applyBorder="1" applyAlignment="1">
      <alignment horizontal="center" vertical="center"/>
    </xf>
    <xf numFmtId="0" fontId="16" fillId="11" borderId="16" xfId="0" applyFont="1" applyFill="1" applyBorder="1" applyAlignment="1">
      <alignment vertical="center"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ichitaedu.sharepoint.com/:w:/r/sites/PALGeneralTeam-CityofWichita/Shared%20Documents/City%20of%20Wichita/DELIVERABLE/1.%20Data%20Governance%20and%20System%20Requirements%20Review/1.2%20Summary%20of%20industry%20standard.docx?d=w32a7a3f1b3074ddf81cc048eb05abc23&amp;csf=1&amp;web=1&amp;e=5SKuwN" TargetMode="External"/><Relationship Id="rId2" Type="http://schemas.openxmlformats.org/officeDocument/2006/relationships/hyperlink" Target="https://wichitaedu.sharepoint.com/:w:/r/sites/PALGeneralTeam-CityofWichita/Shared%20Documents/City%20of%20Wichita/DELIVERABLE/1.%20Data%20Governance%20and%20System%20Requirements%20Review/1.1%20Initial%20Summary.docx?d=w77968784f41945c7b8d9b528f61f0404&amp;csf=1&amp;web=1&amp;e=pLOZC1" TargetMode="External"/><Relationship Id="rId1" Type="http://schemas.openxmlformats.org/officeDocument/2006/relationships/hyperlink" Target="https://wichitaedu.sharepoint.com/:f:/s/PALGeneralTeam-CityofWichita/EpXyCu8hCxhOs1Tn5_v6HAIB4GkRuvuxB-98Fe88nc4eeg" TargetMode="External"/><Relationship Id="rId5" Type="http://schemas.openxmlformats.org/officeDocument/2006/relationships/printerSettings" Target="../printerSettings/printerSettings1.bin"/><Relationship Id="rId4" Type="http://schemas.openxmlformats.org/officeDocument/2006/relationships/hyperlink" Target="https://wichitaedu.sharepoint.com/:w:/r/sites/PALGeneralTeam-CityofWichita/Shared%20Documents/City%20of%20Wichita/DELIVERABLE/1.%20Data%20Governance%20and%20System%20Requirements%20Review/2.2%20Data%20Storage%20Requirement.docx?d=w89c51e50a9124842af6e4a3a6f0cf003&amp;csf=1&amp;web=1&amp;e=OWJ7V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1C1F6-B49D-4D2D-B0F5-FB57B957E0AF}">
  <sheetPr>
    <pageSetUpPr fitToPage="1"/>
  </sheetPr>
  <dimension ref="A1:BM53"/>
  <sheetViews>
    <sheetView showGridLines="0" tabSelected="1" showRuler="0" zoomScale="85" zoomScaleNormal="85" zoomScalePageLayoutView="70" workbookViewId="0">
      <selection activeCell="B21" sqref="B21"/>
    </sheetView>
  </sheetViews>
  <sheetFormatPr defaultColWidth="8.75" defaultRowHeight="30" customHeight="1" x14ac:dyDescent="0.3"/>
  <cols>
    <col min="1" max="1" width="2.75" style="7" customWidth="1"/>
    <col min="2" max="2" width="79.25" customWidth="1"/>
    <col min="3" max="3" width="15.83203125" customWidth="1"/>
    <col min="4" max="4" width="38.75" customWidth="1"/>
    <col min="5" max="5" width="10.75" customWidth="1"/>
    <col min="6" max="6" width="10.75" style="2" customWidth="1"/>
    <col min="7" max="7" width="10.75" customWidth="1"/>
    <col min="8" max="8" width="2.75" customWidth="1"/>
    <col min="9" max="9" width="6" hidden="1" customWidth="1"/>
    <col min="10" max="66" width="2.75" customWidth="1"/>
  </cols>
  <sheetData>
    <row r="1" spans="1:65" ht="90" customHeight="1" x14ac:dyDescent="1.7">
      <c r="A1" s="8"/>
      <c r="B1" s="84" t="s">
        <v>10</v>
      </c>
      <c r="C1" s="12"/>
      <c r="D1" s="12"/>
      <c r="E1" s="13"/>
      <c r="F1" s="14"/>
      <c r="G1" s="15"/>
      <c r="I1" s="1"/>
      <c r="J1" s="117" t="s">
        <v>7</v>
      </c>
      <c r="K1" s="118"/>
      <c r="L1" s="118"/>
      <c r="M1" s="118"/>
      <c r="N1" s="118"/>
      <c r="O1" s="118"/>
      <c r="P1" s="118"/>
      <c r="Q1" s="18"/>
      <c r="R1" s="119">
        <f ca="1">TODAY()</f>
        <v>45957</v>
      </c>
      <c r="S1" s="120"/>
      <c r="T1" s="120"/>
      <c r="U1" s="120"/>
      <c r="V1" s="120"/>
      <c r="W1" s="120"/>
      <c r="X1" s="120"/>
      <c r="Y1" s="120"/>
      <c r="Z1" s="120"/>
      <c r="AA1" s="120"/>
    </row>
    <row r="2" spans="1:65" ht="30" customHeight="1" x14ac:dyDescent="0.7">
      <c r="B2" s="82" t="s">
        <v>15</v>
      </c>
      <c r="C2" s="83" t="s">
        <v>6</v>
      </c>
      <c r="D2" s="83"/>
      <c r="E2" s="16"/>
      <c r="F2" s="17"/>
      <c r="G2" s="16"/>
      <c r="J2" s="117" t="s">
        <v>8</v>
      </c>
      <c r="K2" s="118"/>
      <c r="L2" s="118"/>
      <c r="M2" s="118"/>
      <c r="N2" s="118"/>
      <c r="O2" s="118"/>
      <c r="P2" s="118"/>
      <c r="Q2" s="18"/>
      <c r="R2" s="121">
        <v>1</v>
      </c>
      <c r="S2" s="120"/>
      <c r="T2" s="120"/>
      <c r="U2" s="120"/>
      <c r="V2" s="120"/>
      <c r="W2" s="120"/>
      <c r="X2" s="120"/>
      <c r="Y2" s="120"/>
      <c r="Z2" s="120"/>
      <c r="AA2" s="120"/>
    </row>
    <row r="3" spans="1:65" s="20" customFormat="1" ht="30" customHeight="1" x14ac:dyDescent="0.3">
      <c r="A3" s="7"/>
      <c r="B3" s="19"/>
      <c r="E3" s="21"/>
      <c r="F3" s="22"/>
    </row>
    <row r="4" spans="1:65" s="20" customFormat="1" ht="30" customHeight="1" x14ac:dyDescent="0.3">
      <c r="A4" s="8"/>
      <c r="B4" s="23"/>
      <c r="F4" s="24"/>
      <c r="J4" s="122">
        <f ca="1">J5</f>
        <v>45957</v>
      </c>
      <c r="K4" s="123"/>
      <c r="L4" s="123"/>
      <c r="M4" s="123"/>
      <c r="N4" s="123"/>
      <c r="O4" s="123"/>
      <c r="P4" s="123"/>
      <c r="Q4" s="123">
        <f ca="1">Q5</f>
        <v>45964</v>
      </c>
      <c r="R4" s="123"/>
      <c r="S4" s="123"/>
      <c r="T4" s="123"/>
      <c r="U4" s="123"/>
      <c r="V4" s="123"/>
      <c r="W4" s="123"/>
      <c r="X4" s="123">
        <f ca="1">X5</f>
        <v>45971</v>
      </c>
      <c r="Y4" s="123"/>
      <c r="Z4" s="123"/>
      <c r="AA4" s="123"/>
      <c r="AB4" s="123"/>
      <c r="AC4" s="123"/>
      <c r="AD4" s="123"/>
      <c r="AE4" s="123">
        <f ca="1">AE5</f>
        <v>45978</v>
      </c>
      <c r="AF4" s="123"/>
      <c r="AG4" s="123"/>
      <c r="AH4" s="123"/>
      <c r="AI4" s="123"/>
      <c r="AJ4" s="123"/>
      <c r="AK4" s="123"/>
      <c r="AL4" s="123">
        <f ca="1">AL5</f>
        <v>45985</v>
      </c>
      <c r="AM4" s="123"/>
      <c r="AN4" s="123"/>
      <c r="AO4" s="123"/>
      <c r="AP4" s="123"/>
      <c r="AQ4" s="123"/>
      <c r="AR4" s="123"/>
      <c r="AS4" s="123">
        <f ca="1">AS5</f>
        <v>45992</v>
      </c>
      <c r="AT4" s="123"/>
      <c r="AU4" s="123"/>
      <c r="AV4" s="123"/>
      <c r="AW4" s="123"/>
      <c r="AX4" s="123"/>
      <c r="AY4" s="123"/>
      <c r="AZ4" s="123">
        <f ca="1">AZ5</f>
        <v>45999</v>
      </c>
      <c r="BA4" s="123"/>
      <c r="BB4" s="123"/>
      <c r="BC4" s="123"/>
      <c r="BD4" s="123"/>
      <c r="BE4" s="123"/>
      <c r="BF4" s="123"/>
      <c r="BG4" s="123">
        <f ca="1">BG5</f>
        <v>46006</v>
      </c>
      <c r="BH4" s="123"/>
      <c r="BI4" s="123"/>
      <c r="BJ4" s="123"/>
      <c r="BK4" s="123"/>
      <c r="BL4" s="123"/>
      <c r="BM4" s="124"/>
    </row>
    <row r="5" spans="1:65" s="20" customFormat="1" ht="15" customHeight="1" x14ac:dyDescent="0.3">
      <c r="A5" s="125"/>
      <c r="B5" s="126" t="s">
        <v>4</v>
      </c>
      <c r="C5" s="128" t="s">
        <v>9</v>
      </c>
      <c r="D5" s="131" t="s">
        <v>31</v>
      </c>
      <c r="E5" s="130" t="s">
        <v>1</v>
      </c>
      <c r="F5" s="130" t="s">
        <v>2</v>
      </c>
      <c r="G5" s="130" t="s">
        <v>3</v>
      </c>
      <c r="J5" s="25">
        <f ca="1">Project_Start-WEEKDAY(Project_Start,1)+2+7*(Display_Week-1)</f>
        <v>45957</v>
      </c>
      <c r="K5" s="25">
        <f ca="1">J5+1</f>
        <v>45958</v>
      </c>
      <c r="L5" s="25">
        <f t="shared" ref="L5:AY5" ca="1" si="0">K5+1</f>
        <v>45959</v>
      </c>
      <c r="M5" s="25">
        <f t="shared" ca="1" si="0"/>
        <v>45960</v>
      </c>
      <c r="N5" s="25">
        <f t="shared" ca="1" si="0"/>
        <v>45961</v>
      </c>
      <c r="O5" s="25">
        <f t="shared" ca="1" si="0"/>
        <v>45962</v>
      </c>
      <c r="P5" s="26">
        <f t="shared" ca="1" si="0"/>
        <v>45963</v>
      </c>
      <c r="Q5" s="27">
        <f ca="1">P5+1</f>
        <v>45964</v>
      </c>
      <c r="R5" s="25">
        <f ca="1">Q5+1</f>
        <v>45965</v>
      </c>
      <c r="S5" s="25">
        <f t="shared" ca="1" si="0"/>
        <v>45966</v>
      </c>
      <c r="T5" s="25">
        <f t="shared" ca="1" si="0"/>
        <v>45967</v>
      </c>
      <c r="U5" s="25">
        <f t="shared" ca="1" si="0"/>
        <v>45968</v>
      </c>
      <c r="V5" s="25">
        <f t="shared" ca="1" si="0"/>
        <v>45969</v>
      </c>
      <c r="W5" s="26">
        <f t="shared" ca="1" si="0"/>
        <v>45970</v>
      </c>
      <c r="X5" s="27">
        <f ca="1">W5+1</f>
        <v>45971</v>
      </c>
      <c r="Y5" s="25">
        <f ca="1">X5+1</f>
        <v>45972</v>
      </c>
      <c r="Z5" s="25">
        <f t="shared" ca="1" si="0"/>
        <v>45973</v>
      </c>
      <c r="AA5" s="25">
        <f t="shared" ca="1" si="0"/>
        <v>45974</v>
      </c>
      <c r="AB5" s="25">
        <f t="shared" ca="1" si="0"/>
        <v>45975</v>
      </c>
      <c r="AC5" s="25">
        <f t="shared" ca="1" si="0"/>
        <v>45976</v>
      </c>
      <c r="AD5" s="26">
        <f t="shared" ca="1" si="0"/>
        <v>45977</v>
      </c>
      <c r="AE5" s="27">
        <f ca="1">AD5+1</f>
        <v>45978</v>
      </c>
      <c r="AF5" s="25">
        <f ca="1">AE5+1</f>
        <v>45979</v>
      </c>
      <c r="AG5" s="25">
        <f t="shared" ca="1" si="0"/>
        <v>45980</v>
      </c>
      <c r="AH5" s="25">
        <f t="shared" ca="1" si="0"/>
        <v>45981</v>
      </c>
      <c r="AI5" s="25">
        <f t="shared" ca="1" si="0"/>
        <v>45982</v>
      </c>
      <c r="AJ5" s="25">
        <f t="shared" ca="1" si="0"/>
        <v>45983</v>
      </c>
      <c r="AK5" s="26">
        <f t="shared" ca="1" si="0"/>
        <v>45984</v>
      </c>
      <c r="AL5" s="27">
        <f ca="1">AK5+1</f>
        <v>45985</v>
      </c>
      <c r="AM5" s="25">
        <f ca="1">AL5+1</f>
        <v>45986</v>
      </c>
      <c r="AN5" s="25">
        <f t="shared" ca="1" si="0"/>
        <v>45987</v>
      </c>
      <c r="AO5" s="25">
        <f t="shared" ca="1" si="0"/>
        <v>45988</v>
      </c>
      <c r="AP5" s="25">
        <f t="shared" ca="1" si="0"/>
        <v>45989</v>
      </c>
      <c r="AQ5" s="25">
        <f t="shared" ca="1" si="0"/>
        <v>45990</v>
      </c>
      <c r="AR5" s="26">
        <f t="shared" ca="1" si="0"/>
        <v>45991</v>
      </c>
      <c r="AS5" s="27">
        <f ca="1">AR5+1</f>
        <v>45992</v>
      </c>
      <c r="AT5" s="25">
        <f ca="1">AS5+1</f>
        <v>45993</v>
      </c>
      <c r="AU5" s="25">
        <f t="shared" ca="1" si="0"/>
        <v>45994</v>
      </c>
      <c r="AV5" s="25">
        <f t="shared" ca="1" si="0"/>
        <v>45995</v>
      </c>
      <c r="AW5" s="25">
        <f t="shared" ca="1" si="0"/>
        <v>45996</v>
      </c>
      <c r="AX5" s="25">
        <f t="shared" ca="1" si="0"/>
        <v>45997</v>
      </c>
      <c r="AY5" s="26">
        <f t="shared" ca="1" si="0"/>
        <v>45998</v>
      </c>
      <c r="AZ5" s="27">
        <f ca="1">AY5+1</f>
        <v>45999</v>
      </c>
      <c r="BA5" s="25">
        <f ca="1">AZ5+1</f>
        <v>46000</v>
      </c>
      <c r="BB5" s="25">
        <f t="shared" ref="BB5:BF5" ca="1" si="1">BA5+1</f>
        <v>46001</v>
      </c>
      <c r="BC5" s="25">
        <f t="shared" ca="1" si="1"/>
        <v>46002</v>
      </c>
      <c r="BD5" s="25">
        <f t="shared" ca="1" si="1"/>
        <v>46003</v>
      </c>
      <c r="BE5" s="25">
        <f t="shared" ca="1" si="1"/>
        <v>46004</v>
      </c>
      <c r="BF5" s="26">
        <f t="shared" ca="1" si="1"/>
        <v>46005</v>
      </c>
      <c r="BG5" s="27">
        <f ca="1">BF5+1</f>
        <v>46006</v>
      </c>
      <c r="BH5" s="25">
        <f ca="1">BG5+1</f>
        <v>46007</v>
      </c>
      <c r="BI5" s="25">
        <f t="shared" ref="BI5:BM5" ca="1" si="2">BH5+1</f>
        <v>46008</v>
      </c>
      <c r="BJ5" s="25">
        <f t="shared" ca="1" si="2"/>
        <v>46009</v>
      </c>
      <c r="BK5" s="25">
        <f t="shared" ca="1" si="2"/>
        <v>46010</v>
      </c>
      <c r="BL5" s="25">
        <f t="shared" ca="1" si="2"/>
        <v>46011</v>
      </c>
      <c r="BM5" s="25">
        <f t="shared" ca="1" si="2"/>
        <v>46012</v>
      </c>
    </row>
    <row r="6" spans="1:65" s="20" customFormat="1" ht="49.5" customHeight="1" thickBot="1" x14ac:dyDescent="0.35">
      <c r="A6" s="125"/>
      <c r="B6" s="127"/>
      <c r="C6" s="129"/>
      <c r="D6" s="129"/>
      <c r="E6" s="129"/>
      <c r="F6" s="129"/>
      <c r="G6" s="129"/>
      <c r="J6" s="28" t="str">
        <f t="shared" ref="J6:BM6" ca="1" si="3">LEFT(TEXT(J5,"ddd"),1)</f>
        <v>M</v>
      </c>
      <c r="K6" s="29" t="str">
        <f t="shared" ca="1" si="3"/>
        <v>T</v>
      </c>
      <c r="L6" s="29" t="str">
        <f t="shared" ca="1" si="3"/>
        <v>W</v>
      </c>
      <c r="M6" s="29" t="str">
        <f t="shared" ca="1" si="3"/>
        <v>T</v>
      </c>
      <c r="N6" s="29" t="str">
        <f t="shared" ca="1" si="3"/>
        <v>F</v>
      </c>
      <c r="O6" s="29" t="str">
        <f t="shared" ca="1" si="3"/>
        <v>S</v>
      </c>
      <c r="P6" s="29" t="str">
        <f t="shared" ca="1" si="3"/>
        <v>S</v>
      </c>
      <c r="Q6" s="29" t="str">
        <f t="shared" ca="1" si="3"/>
        <v>M</v>
      </c>
      <c r="R6" s="29" t="str">
        <f t="shared" ca="1" si="3"/>
        <v>T</v>
      </c>
      <c r="S6" s="29" t="str">
        <f t="shared" ca="1" si="3"/>
        <v>W</v>
      </c>
      <c r="T6" s="29" t="str">
        <f t="shared" ca="1" si="3"/>
        <v>T</v>
      </c>
      <c r="U6" s="29" t="str">
        <f t="shared" ca="1" si="3"/>
        <v>F</v>
      </c>
      <c r="V6" s="29" t="str">
        <f t="shared" ca="1" si="3"/>
        <v>S</v>
      </c>
      <c r="W6" s="29" t="str">
        <f t="shared" ca="1" si="3"/>
        <v>S</v>
      </c>
      <c r="X6" s="29" t="str">
        <f t="shared" ca="1" si="3"/>
        <v>M</v>
      </c>
      <c r="Y6" s="29" t="str">
        <f t="shared" ca="1" si="3"/>
        <v>T</v>
      </c>
      <c r="Z6" s="29" t="str">
        <f t="shared" ca="1" si="3"/>
        <v>W</v>
      </c>
      <c r="AA6" s="29" t="str">
        <f t="shared" ca="1" si="3"/>
        <v>T</v>
      </c>
      <c r="AB6" s="29" t="str">
        <f t="shared" ca="1" si="3"/>
        <v>F</v>
      </c>
      <c r="AC6" s="29" t="str">
        <f t="shared" ca="1" si="3"/>
        <v>S</v>
      </c>
      <c r="AD6" s="29" t="str">
        <f t="shared" ca="1" si="3"/>
        <v>S</v>
      </c>
      <c r="AE6" s="29" t="str">
        <f t="shared" ca="1" si="3"/>
        <v>M</v>
      </c>
      <c r="AF6" s="29" t="str">
        <f t="shared" ca="1" si="3"/>
        <v>T</v>
      </c>
      <c r="AG6" s="29" t="str">
        <f t="shared" ca="1" si="3"/>
        <v>W</v>
      </c>
      <c r="AH6" s="29" t="str">
        <f t="shared" ca="1" si="3"/>
        <v>T</v>
      </c>
      <c r="AI6" s="29" t="str">
        <f t="shared" ca="1" si="3"/>
        <v>F</v>
      </c>
      <c r="AJ6" s="29" t="str">
        <f t="shared" ca="1" si="3"/>
        <v>S</v>
      </c>
      <c r="AK6" s="29" t="str">
        <f t="shared" ca="1" si="3"/>
        <v>S</v>
      </c>
      <c r="AL6" s="29" t="str">
        <f t="shared" ca="1" si="3"/>
        <v>M</v>
      </c>
      <c r="AM6" s="29" t="str">
        <f t="shared" ca="1" si="3"/>
        <v>T</v>
      </c>
      <c r="AN6" s="29" t="str">
        <f t="shared" ca="1" si="3"/>
        <v>W</v>
      </c>
      <c r="AO6" s="29" t="str">
        <f t="shared" ca="1" si="3"/>
        <v>T</v>
      </c>
      <c r="AP6" s="29" t="str">
        <f t="shared" ca="1" si="3"/>
        <v>F</v>
      </c>
      <c r="AQ6" s="29" t="str">
        <f t="shared" ca="1" si="3"/>
        <v>S</v>
      </c>
      <c r="AR6" s="29" t="str">
        <f t="shared" ca="1" si="3"/>
        <v>S</v>
      </c>
      <c r="AS6" s="29" t="str">
        <f t="shared" ca="1" si="3"/>
        <v>M</v>
      </c>
      <c r="AT6" s="29" t="str">
        <f t="shared" ca="1" si="3"/>
        <v>T</v>
      </c>
      <c r="AU6" s="29" t="str">
        <f t="shared" ca="1" si="3"/>
        <v>W</v>
      </c>
      <c r="AV6" s="29" t="str">
        <f t="shared" ca="1" si="3"/>
        <v>T</v>
      </c>
      <c r="AW6" s="29" t="str">
        <f t="shared" ca="1" si="3"/>
        <v>F</v>
      </c>
      <c r="AX6" s="29" t="str">
        <f t="shared" ca="1" si="3"/>
        <v>S</v>
      </c>
      <c r="AY6" s="29" t="str">
        <f t="shared" ca="1" si="3"/>
        <v>S</v>
      </c>
      <c r="AZ6" s="29" t="str">
        <f t="shared" ca="1" si="3"/>
        <v>M</v>
      </c>
      <c r="BA6" s="29" t="str">
        <f t="shared" ca="1" si="3"/>
        <v>T</v>
      </c>
      <c r="BB6" s="29" t="str">
        <f t="shared" ca="1" si="3"/>
        <v>W</v>
      </c>
      <c r="BC6" s="29" t="str">
        <f t="shared" ca="1" si="3"/>
        <v>T</v>
      </c>
      <c r="BD6" s="29" t="str">
        <f t="shared" ca="1" si="3"/>
        <v>F</v>
      </c>
      <c r="BE6" s="29" t="str">
        <f t="shared" ca="1" si="3"/>
        <v>S</v>
      </c>
      <c r="BF6" s="29" t="str">
        <f t="shared" ca="1" si="3"/>
        <v>S</v>
      </c>
      <c r="BG6" s="29" t="str">
        <f t="shared" ca="1" si="3"/>
        <v>M</v>
      </c>
      <c r="BH6" s="29" t="str">
        <f t="shared" ca="1" si="3"/>
        <v>T</v>
      </c>
      <c r="BI6" s="29" t="str">
        <f t="shared" ca="1" si="3"/>
        <v>W</v>
      </c>
      <c r="BJ6" s="29" t="str">
        <f t="shared" ca="1" si="3"/>
        <v>T</v>
      </c>
      <c r="BK6" s="29" t="str">
        <f t="shared" ca="1" si="3"/>
        <v>F</v>
      </c>
      <c r="BL6" s="29" t="str">
        <f t="shared" ca="1" si="3"/>
        <v>S</v>
      </c>
      <c r="BM6" s="30" t="str">
        <f t="shared" ca="1" si="3"/>
        <v>S</v>
      </c>
    </row>
    <row r="7" spans="1:65" s="20" customFormat="1" ht="30" hidden="1" customHeight="1" thickBot="1" x14ac:dyDescent="0.35">
      <c r="A7" s="7" t="s">
        <v>5</v>
      </c>
      <c r="B7" s="31"/>
      <c r="C7" s="32"/>
      <c r="D7" s="32"/>
      <c r="E7" s="31"/>
      <c r="F7" s="31"/>
      <c r="G7" s="31"/>
      <c r="I7" s="20" t="str">
        <f>IF(OR(ISBLANK(task_start),ISBLANK(task_end)),"",task_end-task_start+1)</f>
        <v/>
      </c>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row>
    <row r="8" spans="1:65" s="40" customFormat="1" ht="30" customHeight="1" thickBot="1" x14ac:dyDescent="0.35">
      <c r="A8" s="8"/>
      <c r="B8" s="34" t="s">
        <v>11</v>
      </c>
      <c r="C8" s="35"/>
      <c r="D8" s="115" t="s">
        <v>30</v>
      </c>
      <c r="E8" s="36"/>
      <c r="F8" s="37"/>
      <c r="G8" s="38"/>
      <c r="H8" s="11"/>
      <c r="I8" s="5" t="str">
        <f t="shared" ref="I8:I50" si="4">IF(OR(ISBLANK(task_start),ISBLANK(task_end)),"",task_end-task_start+1)</f>
        <v/>
      </c>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c r="BM8" s="39"/>
    </row>
    <row r="9" spans="1:65" s="93" customFormat="1" ht="30" customHeight="1" thickBot="1" x14ac:dyDescent="0.3">
      <c r="A9" s="85"/>
      <c r="B9" s="112" t="s">
        <v>16</v>
      </c>
      <c r="C9" s="86"/>
      <c r="D9" s="114"/>
      <c r="E9" s="88">
        <f>SUM(E10:E13)</f>
        <v>0</v>
      </c>
      <c r="F9" s="89"/>
      <c r="G9" s="89"/>
      <c r="H9" s="90"/>
      <c r="I9" s="91" t="str">
        <f t="shared" si="4"/>
        <v/>
      </c>
      <c r="J9" s="92"/>
      <c r="K9" s="92"/>
      <c r="L9" s="92"/>
      <c r="M9" s="92"/>
      <c r="N9" s="92"/>
      <c r="O9" s="92"/>
      <c r="P9" s="92"/>
      <c r="Q9" s="92"/>
      <c r="R9" s="92"/>
      <c r="S9" s="92"/>
      <c r="T9" s="92"/>
      <c r="U9" s="92"/>
      <c r="V9" s="92"/>
      <c r="W9" s="92"/>
      <c r="X9" s="92"/>
      <c r="Y9" s="92"/>
      <c r="Z9" s="92"/>
      <c r="AA9" s="92"/>
      <c r="AB9" s="92"/>
      <c r="AC9" s="92"/>
      <c r="AD9" s="92"/>
      <c r="AE9" s="92"/>
      <c r="AF9" s="92"/>
      <c r="AG9" s="92"/>
      <c r="AH9" s="92"/>
      <c r="AI9" s="92"/>
      <c r="AJ9" s="92"/>
      <c r="AK9" s="92"/>
      <c r="AL9" s="92"/>
      <c r="AM9" s="92"/>
      <c r="AN9" s="92"/>
      <c r="AO9" s="92"/>
      <c r="AP9" s="92"/>
      <c r="AQ9" s="92"/>
      <c r="AR9" s="92"/>
      <c r="AS9" s="92"/>
      <c r="AT9" s="92"/>
      <c r="AU9" s="92"/>
      <c r="AV9" s="92"/>
      <c r="AW9" s="92"/>
      <c r="AX9" s="92"/>
      <c r="AY9" s="92"/>
      <c r="AZ9" s="92"/>
      <c r="BA9" s="92"/>
      <c r="BB9" s="92"/>
      <c r="BC9" s="92"/>
      <c r="BD9" s="92"/>
      <c r="BE9" s="92"/>
      <c r="BF9" s="92"/>
      <c r="BG9" s="92"/>
      <c r="BH9" s="92"/>
      <c r="BI9" s="92"/>
      <c r="BJ9" s="92"/>
      <c r="BK9" s="92"/>
      <c r="BL9" s="92"/>
      <c r="BM9" s="92"/>
    </row>
    <row r="10" spans="1:65" s="93" customFormat="1" ht="30" customHeight="1" thickBot="1" x14ac:dyDescent="0.3">
      <c r="A10" s="85"/>
      <c r="B10" s="94" t="s">
        <v>24</v>
      </c>
      <c r="C10" s="95"/>
      <c r="D10" s="116" t="s">
        <v>27</v>
      </c>
      <c r="E10" s="96"/>
      <c r="F10" s="97">
        <v>45943</v>
      </c>
      <c r="G10" s="97">
        <v>45949</v>
      </c>
      <c r="H10" s="90"/>
      <c r="I10" s="91"/>
      <c r="J10" s="92"/>
      <c r="K10" s="92"/>
      <c r="L10" s="92"/>
      <c r="M10" s="92"/>
      <c r="N10" s="92"/>
      <c r="O10" s="92"/>
      <c r="P10" s="92"/>
      <c r="Q10" s="92"/>
      <c r="R10" s="92"/>
      <c r="S10" s="92"/>
      <c r="T10" s="92"/>
      <c r="U10" s="92"/>
      <c r="V10" s="92"/>
      <c r="W10" s="92"/>
      <c r="X10" s="92"/>
      <c r="Y10" s="92"/>
      <c r="Z10" s="92"/>
      <c r="AA10" s="92"/>
      <c r="AB10" s="92"/>
      <c r="AC10" s="92"/>
      <c r="AD10" s="92"/>
      <c r="AE10" s="92"/>
      <c r="AF10" s="92"/>
      <c r="AG10" s="92"/>
      <c r="AH10" s="92"/>
      <c r="AI10" s="92"/>
      <c r="AJ10" s="92"/>
      <c r="AK10" s="92"/>
      <c r="AL10" s="92"/>
      <c r="AM10" s="92"/>
      <c r="AN10" s="92"/>
      <c r="AO10" s="92"/>
      <c r="AP10" s="92"/>
      <c r="AQ10" s="92"/>
      <c r="AR10" s="92"/>
      <c r="AS10" s="92"/>
      <c r="AT10" s="92"/>
      <c r="AU10" s="92"/>
      <c r="AV10" s="92"/>
      <c r="AW10" s="92"/>
      <c r="AX10" s="92"/>
      <c r="AY10" s="92"/>
      <c r="AZ10" s="92"/>
      <c r="BA10" s="92"/>
      <c r="BB10" s="92"/>
      <c r="BC10" s="92"/>
      <c r="BD10" s="92"/>
      <c r="BE10" s="92"/>
      <c r="BF10" s="92"/>
      <c r="BG10" s="92"/>
      <c r="BH10" s="92"/>
      <c r="BI10" s="92"/>
      <c r="BJ10" s="92"/>
      <c r="BK10" s="92"/>
      <c r="BL10" s="92"/>
      <c r="BM10" s="92"/>
    </row>
    <row r="11" spans="1:65" s="93" customFormat="1" ht="30" customHeight="1" thickBot="1" x14ac:dyDescent="0.3">
      <c r="A11" s="85"/>
      <c r="B11" s="94" t="s">
        <v>25</v>
      </c>
      <c r="C11" s="95"/>
      <c r="D11" s="116" t="s">
        <v>28</v>
      </c>
      <c r="E11" s="96"/>
      <c r="F11" s="97">
        <v>45943</v>
      </c>
      <c r="G11" s="97">
        <v>45949</v>
      </c>
      <c r="H11" s="90"/>
      <c r="I11" s="91"/>
      <c r="J11" s="92"/>
      <c r="K11" s="92"/>
      <c r="L11" s="92"/>
      <c r="M11" s="92"/>
      <c r="N11" s="92"/>
      <c r="O11" s="92"/>
      <c r="P11" s="92"/>
      <c r="Q11" s="92"/>
      <c r="R11" s="92"/>
      <c r="S11" s="92"/>
      <c r="T11" s="92"/>
      <c r="U11" s="92"/>
      <c r="V11" s="92"/>
      <c r="W11" s="92"/>
      <c r="X11" s="92"/>
      <c r="Y11" s="92"/>
      <c r="Z11" s="92"/>
      <c r="AA11" s="92"/>
      <c r="AB11" s="92"/>
      <c r="AC11" s="92"/>
      <c r="AD11" s="92"/>
      <c r="AE11" s="92"/>
      <c r="AF11" s="92"/>
      <c r="AG11" s="92"/>
      <c r="AH11" s="92"/>
      <c r="AI11" s="92"/>
      <c r="AJ11" s="92"/>
      <c r="AK11" s="92"/>
      <c r="AL11" s="92"/>
      <c r="AM11" s="92"/>
      <c r="AN11" s="92"/>
      <c r="AO11" s="92"/>
      <c r="AP11" s="92"/>
      <c r="AQ11" s="92"/>
      <c r="AR11" s="92"/>
      <c r="AS11" s="92"/>
      <c r="AT11" s="92"/>
      <c r="AU11" s="92"/>
      <c r="AV11" s="92"/>
      <c r="AW11" s="92"/>
      <c r="AX11" s="92"/>
      <c r="AY11" s="92"/>
      <c r="AZ11" s="92"/>
      <c r="BA11" s="92"/>
      <c r="BB11" s="92"/>
      <c r="BC11" s="92"/>
      <c r="BD11" s="92"/>
      <c r="BE11" s="92"/>
      <c r="BF11" s="92"/>
      <c r="BG11" s="92"/>
      <c r="BH11" s="92"/>
      <c r="BI11" s="92"/>
      <c r="BJ11" s="92"/>
      <c r="BK11" s="92"/>
      <c r="BL11" s="92"/>
      <c r="BM11" s="92"/>
    </row>
    <row r="12" spans="1:65" s="93" customFormat="1" ht="30" customHeight="1" thickBot="1" x14ac:dyDescent="0.3">
      <c r="A12" s="85"/>
      <c r="B12" s="94" t="s">
        <v>18</v>
      </c>
      <c r="C12" s="95"/>
      <c r="D12" s="113" t="s">
        <v>29</v>
      </c>
      <c r="E12" s="96"/>
      <c r="F12" s="97">
        <f>G11</f>
        <v>45949</v>
      </c>
      <c r="G12" s="97">
        <v>45954</v>
      </c>
      <c r="H12" s="90"/>
      <c r="I12" s="91"/>
      <c r="J12" s="92"/>
      <c r="K12" s="92"/>
      <c r="L12" s="92"/>
      <c r="M12" s="92"/>
      <c r="N12" s="92"/>
      <c r="O12" s="92"/>
      <c r="P12" s="92"/>
      <c r="Q12" s="92"/>
      <c r="R12" s="92"/>
      <c r="S12" s="92"/>
      <c r="T12" s="92"/>
      <c r="U12" s="92"/>
      <c r="V12" s="92"/>
      <c r="W12" s="92"/>
      <c r="X12" s="92"/>
      <c r="Y12" s="92"/>
      <c r="Z12" s="92"/>
      <c r="AA12" s="92"/>
      <c r="AB12" s="92"/>
      <c r="AC12" s="92"/>
      <c r="AD12" s="92"/>
      <c r="AE12" s="92"/>
      <c r="AF12" s="92"/>
      <c r="AG12" s="92"/>
      <c r="AH12" s="92"/>
      <c r="AI12" s="92"/>
      <c r="AJ12" s="92"/>
      <c r="AK12" s="92"/>
      <c r="AL12" s="92"/>
      <c r="AM12" s="92"/>
      <c r="AN12" s="92"/>
      <c r="AO12" s="92"/>
      <c r="AP12" s="92"/>
      <c r="AQ12" s="92"/>
      <c r="AR12" s="92"/>
      <c r="AS12" s="92"/>
      <c r="AT12" s="92"/>
      <c r="AU12" s="92"/>
      <c r="AV12" s="92"/>
      <c r="AW12" s="92"/>
      <c r="AX12" s="92"/>
      <c r="AY12" s="92"/>
      <c r="AZ12" s="92"/>
      <c r="BA12" s="92"/>
      <c r="BB12" s="92"/>
      <c r="BC12" s="92"/>
      <c r="BD12" s="92"/>
      <c r="BE12" s="92"/>
      <c r="BF12" s="92"/>
      <c r="BG12" s="92"/>
      <c r="BH12" s="92"/>
      <c r="BI12" s="92"/>
      <c r="BJ12" s="92"/>
      <c r="BK12" s="92"/>
      <c r="BL12" s="92"/>
      <c r="BM12" s="92"/>
    </row>
    <row r="13" spans="1:65" s="93" customFormat="1" ht="30" customHeight="1" thickBot="1" x14ac:dyDescent="0.3">
      <c r="A13" s="85"/>
      <c r="B13" s="94" t="s">
        <v>19</v>
      </c>
      <c r="C13" s="95"/>
      <c r="D13" s="113" t="s">
        <v>29</v>
      </c>
      <c r="E13" s="96"/>
      <c r="F13" s="97">
        <f>G12</f>
        <v>45954</v>
      </c>
      <c r="G13" s="97">
        <v>45960</v>
      </c>
      <c r="H13" s="90"/>
      <c r="I13" s="91"/>
      <c r="J13" s="92"/>
      <c r="K13" s="92"/>
      <c r="L13" s="92"/>
      <c r="M13" s="92"/>
      <c r="N13" s="92"/>
      <c r="O13" s="92"/>
      <c r="P13" s="92"/>
      <c r="Q13" s="92"/>
      <c r="R13" s="92"/>
      <c r="S13" s="92"/>
      <c r="T13" s="92"/>
      <c r="U13" s="92"/>
      <c r="V13" s="92"/>
      <c r="W13" s="92"/>
      <c r="X13" s="92"/>
      <c r="Y13" s="92"/>
      <c r="Z13" s="92"/>
      <c r="AA13" s="92"/>
      <c r="AB13" s="92"/>
      <c r="AC13" s="92"/>
      <c r="AD13" s="92"/>
      <c r="AE13" s="92"/>
      <c r="AF13" s="92"/>
      <c r="AG13" s="92"/>
      <c r="AH13" s="92"/>
      <c r="AI13" s="92"/>
      <c r="AJ13" s="92"/>
      <c r="AK13" s="92"/>
      <c r="AL13" s="92"/>
      <c r="AM13" s="92"/>
      <c r="AN13" s="92"/>
      <c r="AO13" s="92"/>
      <c r="AP13" s="92"/>
      <c r="AQ13" s="92"/>
      <c r="AR13" s="92"/>
      <c r="AS13" s="92"/>
      <c r="AT13" s="92"/>
      <c r="AU13" s="92"/>
      <c r="AV13" s="92"/>
      <c r="AW13" s="92"/>
      <c r="AX13" s="92"/>
      <c r="AY13" s="92"/>
      <c r="AZ13" s="92"/>
      <c r="BA13" s="92"/>
      <c r="BB13" s="92"/>
      <c r="BC13" s="92"/>
      <c r="BD13" s="92"/>
      <c r="BE13" s="92"/>
      <c r="BF13" s="92"/>
      <c r="BG13" s="92"/>
      <c r="BH13" s="92"/>
      <c r="BI13" s="92"/>
      <c r="BJ13" s="92"/>
      <c r="BK13" s="92"/>
      <c r="BL13" s="92"/>
      <c r="BM13" s="92"/>
    </row>
    <row r="14" spans="1:65" s="93" customFormat="1" ht="30" customHeight="1" thickBot="1" x14ac:dyDescent="0.3">
      <c r="A14" s="85"/>
      <c r="B14" s="110" t="s">
        <v>26</v>
      </c>
      <c r="C14" s="98"/>
      <c r="D14" s="87"/>
      <c r="E14" s="88">
        <f>SUM(E15:E19)</f>
        <v>0</v>
      </c>
      <c r="F14" s="99"/>
      <c r="G14" s="99"/>
      <c r="H14" s="90"/>
      <c r="I14" s="91" t="str">
        <f t="shared" si="4"/>
        <v/>
      </c>
      <c r="J14" s="92"/>
      <c r="K14" s="92"/>
      <c r="L14" s="92"/>
      <c r="M14" s="92"/>
      <c r="N14" s="92"/>
      <c r="O14" s="92"/>
      <c r="P14" s="92"/>
      <c r="Q14" s="92"/>
      <c r="R14" s="92"/>
      <c r="S14" s="92"/>
      <c r="T14" s="92"/>
      <c r="U14" s="92"/>
      <c r="V14" s="100"/>
      <c r="W14" s="100"/>
      <c r="X14" s="92"/>
      <c r="Y14" s="92"/>
      <c r="Z14" s="92"/>
      <c r="AA14" s="92"/>
      <c r="AB14" s="92"/>
      <c r="AC14" s="92"/>
      <c r="AD14" s="92"/>
      <c r="AE14" s="92"/>
      <c r="AF14" s="92"/>
      <c r="AG14" s="92"/>
      <c r="AH14" s="92"/>
      <c r="AI14" s="92"/>
      <c r="AJ14" s="92"/>
      <c r="AK14" s="92"/>
      <c r="AL14" s="92"/>
      <c r="AM14" s="92"/>
      <c r="AN14" s="92"/>
      <c r="AO14" s="92"/>
      <c r="AP14" s="92"/>
      <c r="AQ14" s="92"/>
      <c r="AR14" s="92"/>
      <c r="AS14" s="92"/>
      <c r="AT14" s="92"/>
      <c r="AU14" s="92"/>
      <c r="AV14" s="92"/>
      <c r="AW14" s="92"/>
      <c r="AX14" s="92"/>
      <c r="AY14" s="92"/>
      <c r="AZ14" s="92"/>
      <c r="BA14" s="92"/>
      <c r="BB14" s="92"/>
      <c r="BC14" s="92"/>
      <c r="BD14" s="92"/>
      <c r="BE14" s="92"/>
      <c r="BF14" s="92"/>
      <c r="BG14" s="92"/>
      <c r="BH14" s="92"/>
      <c r="BI14" s="92"/>
      <c r="BJ14" s="92"/>
      <c r="BK14" s="92"/>
      <c r="BL14" s="92"/>
      <c r="BM14" s="92"/>
    </row>
    <row r="15" spans="1:65" s="93" customFormat="1" ht="30" customHeight="1" thickBot="1" x14ac:dyDescent="0.3">
      <c r="A15" s="101"/>
      <c r="B15" s="102" t="s">
        <v>34</v>
      </c>
      <c r="C15" s="103"/>
      <c r="D15" s="113" t="s">
        <v>27</v>
      </c>
      <c r="E15" s="104"/>
      <c r="F15" s="97">
        <v>45943</v>
      </c>
      <c r="G15" s="97">
        <v>45949</v>
      </c>
      <c r="H15" s="90"/>
      <c r="I15" s="91">
        <f t="shared" si="4"/>
        <v>7</v>
      </c>
      <c r="J15" s="92"/>
      <c r="K15" s="92"/>
      <c r="L15" s="92"/>
      <c r="M15" s="92"/>
      <c r="N15" s="92"/>
      <c r="O15" s="92"/>
      <c r="P15" s="92"/>
      <c r="Q15" s="92"/>
      <c r="R15" s="92"/>
      <c r="S15" s="92"/>
      <c r="T15" s="92"/>
      <c r="U15" s="92"/>
      <c r="V15" s="92"/>
      <c r="W15" s="92"/>
      <c r="X15" s="92"/>
      <c r="Y15" s="92"/>
      <c r="Z15" s="92"/>
      <c r="AA15" s="92"/>
      <c r="AB15" s="92"/>
      <c r="AC15" s="92"/>
      <c r="AD15" s="92"/>
      <c r="AE15" s="92"/>
      <c r="AF15" s="92"/>
      <c r="AG15" s="92"/>
      <c r="AH15" s="92"/>
      <c r="AI15" s="92"/>
      <c r="AJ15" s="92"/>
      <c r="AK15" s="92"/>
      <c r="AL15" s="92"/>
      <c r="AM15" s="92"/>
      <c r="AN15" s="92"/>
      <c r="AO15" s="92"/>
      <c r="AP15" s="92"/>
      <c r="AQ15" s="92"/>
      <c r="AR15" s="92"/>
      <c r="AS15" s="92"/>
      <c r="AT15" s="92"/>
      <c r="AU15" s="92"/>
      <c r="AV15" s="92"/>
      <c r="AW15" s="92"/>
      <c r="AX15" s="92"/>
      <c r="AY15" s="92"/>
      <c r="AZ15" s="92"/>
      <c r="BA15" s="92"/>
      <c r="BB15" s="92"/>
      <c r="BC15" s="92"/>
      <c r="BD15" s="92"/>
      <c r="BE15" s="92"/>
      <c r="BF15" s="92"/>
      <c r="BG15" s="92"/>
      <c r="BH15" s="92"/>
      <c r="BI15" s="92"/>
      <c r="BJ15" s="92"/>
      <c r="BK15" s="92"/>
      <c r="BL15" s="92"/>
      <c r="BM15" s="92"/>
    </row>
    <row r="16" spans="1:65" s="93" customFormat="1" ht="30" customHeight="1" thickBot="1" x14ac:dyDescent="0.3">
      <c r="A16" s="101"/>
      <c r="B16" s="102" t="s">
        <v>35</v>
      </c>
      <c r="C16" s="103"/>
      <c r="D16" s="116" t="s">
        <v>32</v>
      </c>
      <c r="E16" s="104"/>
      <c r="F16" s="97">
        <f>G15</f>
        <v>45949</v>
      </c>
      <c r="G16" s="97">
        <f>F16+5</f>
        <v>45954</v>
      </c>
      <c r="H16" s="90"/>
      <c r="I16" s="91">
        <f t="shared" si="4"/>
        <v>6</v>
      </c>
      <c r="J16" s="92"/>
      <c r="K16" s="92"/>
      <c r="L16" s="92"/>
      <c r="M16" s="92"/>
      <c r="N16" s="92"/>
      <c r="O16" s="92"/>
      <c r="P16" s="92"/>
      <c r="Q16" s="92"/>
      <c r="R16" s="92"/>
      <c r="S16" s="92"/>
      <c r="T16" s="92"/>
      <c r="U16" s="92"/>
      <c r="V16" s="92"/>
      <c r="W16" s="92"/>
      <c r="X16" s="92"/>
      <c r="Y16" s="92"/>
      <c r="Z16" s="100"/>
      <c r="AA16" s="92"/>
      <c r="AB16" s="92"/>
      <c r="AC16" s="92"/>
      <c r="AD16" s="92"/>
      <c r="AE16" s="92"/>
      <c r="AF16" s="92"/>
      <c r="AG16" s="92"/>
      <c r="AH16" s="92"/>
      <c r="AI16" s="92"/>
      <c r="AJ16" s="92"/>
      <c r="AK16" s="92"/>
      <c r="AL16" s="92"/>
      <c r="AM16" s="92"/>
      <c r="AN16" s="92"/>
      <c r="AO16" s="92"/>
      <c r="AP16" s="92"/>
      <c r="AQ16" s="92"/>
      <c r="AR16" s="92"/>
      <c r="AS16" s="92"/>
      <c r="AT16" s="92"/>
      <c r="AU16" s="92"/>
      <c r="AV16" s="92"/>
      <c r="AW16" s="92"/>
      <c r="AX16" s="92"/>
      <c r="AY16" s="92"/>
      <c r="AZ16" s="92"/>
      <c r="BA16" s="92"/>
      <c r="BB16" s="92"/>
      <c r="BC16" s="92"/>
      <c r="BD16" s="92"/>
      <c r="BE16" s="92"/>
      <c r="BF16" s="92"/>
      <c r="BG16" s="92"/>
      <c r="BH16" s="92"/>
      <c r="BI16" s="92"/>
      <c r="BJ16" s="92"/>
      <c r="BK16" s="92"/>
      <c r="BL16" s="92"/>
      <c r="BM16" s="92"/>
    </row>
    <row r="17" spans="1:65" s="93" customFormat="1" ht="30" customHeight="1" thickBot="1" x14ac:dyDescent="0.3">
      <c r="A17" s="101"/>
      <c r="B17" s="102" t="s">
        <v>36</v>
      </c>
      <c r="C17" s="103"/>
      <c r="D17" s="113" t="s">
        <v>33</v>
      </c>
      <c r="E17" s="104"/>
      <c r="F17" s="97">
        <f>G16</f>
        <v>45954</v>
      </c>
      <c r="G17" s="97">
        <f>F17+5</f>
        <v>45959</v>
      </c>
      <c r="H17" s="90"/>
      <c r="I17" s="91"/>
      <c r="J17" s="92"/>
      <c r="K17" s="92"/>
      <c r="L17" s="92"/>
      <c r="M17" s="92"/>
      <c r="N17" s="92"/>
      <c r="O17" s="92"/>
      <c r="P17" s="92"/>
      <c r="Q17" s="92"/>
      <c r="R17" s="92"/>
      <c r="S17" s="92"/>
      <c r="T17" s="92"/>
      <c r="U17" s="92"/>
      <c r="V17" s="92"/>
      <c r="W17" s="92"/>
      <c r="X17" s="92"/>
      <c r="Y17" s="92"/>
      <c r="Z17" s="100"/>
      <c r="AA17" s="92"/>
      <c r="AB17" s="92"/>
      <c r="AC17" s="92"/>
      <c r="AD17" s="92"/>
      <c r="AE17" s="92"/>
      <c r="AF17" s="92"/>
      <c r="AG17" s="92"/>
      <c r="AH17" s="92"/>
      <c r="AI17" s="92"/>
      <c r="AJ17" s="92"/>
      <c r="AK17" s="92"/>
      <c r="AL17" s="92"/>
      <c r="AM17" s="92"/>
      <c r="AN17" s="92"/>
      <c r="AO17" s="92"/>
      <c r="AP17" s="92"/>
      <c r="AQ17" s="92"/>
      <c r="AR17" s="92"/>
      <c r="AS17" s="92"/>
      <c r="AT17" s="92"/>
      <c r="AU17" s="92"/>
      <c r="AV17" s="92"/>
      <c r="AW17" s="92"/>
      <c r="AX17" s="92"/>
      <c r="AY17" s="92"/>
      <c r="AZ17" s="92"/>
      <c r="BA17" s="92"/>
      <c r="BB17" s="92"/>
      <c r="BC17" s="92"/>
      <c r="BD17" s="92"/>
      <c r="BE17" s="92"/>
      <c r="BF17" s="92"/>
      <c r="BG17" s="92"/>
      <c r="BH17" s="92"/>
      <c r="BI17" s="92"/>
      <c r="BJ17" s="92"/>
      <c r="BK17" s="92"/>
      <c r="BL17" s="92"/>
      <c r="BM17" s="92"/>
    </row>
    <row r="18" spans="1:65" s="93" customFormat="1" ht="30" customHeight="1" thickBot="1" x14ac:dyDescent="0.3">
      <c r="A18" s="101"/>
      <c r="B18" s="102" t="s">
        <v>37</v>
      </c>
      <c r="C18" s="103"/>
      <c r="D18" s="113"/>
      <c r="E18" s="104"/>
      <c r="F18" s="97">
        <f>G17</f>
        <v>45959</v>
      </c>
      <c r="G18" s="97">
        <v>45954</v>
      </c>
      <c r="H18" s="90"/>
      <c r="I18" s="91"/>
      <c r="J18" s="92"/>
      <c r="K18" s="92"/>
      <c r="L18" s="92"/>
      <c r="M18" s="92"/>
      <c r="N18" s="92"/>
      <c r="O18" s="92"/>
      <c r="P18" s="92"/>
      <c r="Q18" s="92"/>
      <c r="R18" s="92"/>
      <c r="S18" s="92"/>
      <c r="T18" s="92"/>
      <c r="U18" s="92"/>
      <c r="V18" s="92"/>
      <c r="W18" s="92"/>
      <c r="X18" s="92"/>
      <c r="Y18" s="92"/>
      <c r="Z18" s="100"/>
      <c r="AA18" s="92"/>
      <c r="AB18" s="92"/>
      <c r="AC18" s="92"/>
      <c r="AD18" s="92"/>
      <c r="AE18" s="92"/>
      <c r="AF18" s="92"/>
      <c r="AG18" s="92"/>
      <c r="AH18" s="92"/>
      <c r="AI18" s="92"/>
      <c r="AJ18" s="92"/>
      <c r="AK18" s="92"/>
      <c r="AL18" s="92"/>
      <c r="AM18" s="92"/>
      <c r="AN18" s="92"/>
      <c r="AO18" s="92"/>
      <c r="AP18" s="92"/>
      <c r="AQ18" s="92"/>
      <c r="AR18" s="92"/>
      <c r="AS18" s="92"/>
      <c r="AT18" s="92"/>
      <c r="AU18" s="92"/>
      <c r="AV18" s="92"/>
      <c r="AW18" s="92"/>
      <c r="AX18" s="92"/>
      <c r="AY18" s="92"/>
      <c r="AZ18" s="92"/>
      <c r="BA18" s="92"/>
      <c r="BB18" s="92"/>
      <c r="BC18" s="92"/>
      <c r="BD18" s="92"/>
      <c r="BE18" s="92"/>
      <c r="BF18" s="92"/>
      <c r="BG18" s="92"/>
      <c r="BH18" s="92"/>
      <c r="BI18" s="92"/>
      <c r="BJ18" s="92"/>
      <c r="BK18" s="92"/>
      <c r="BL18" s="92"/>
      <c r="BM18" s="92"/>
    </row>
    <row r="19" spans="1:65" s="93" customFormat="1" ht="30" customHeight="1" thickBot="1" x14ac:dyDescent="0.3">
      <c r="A19" s="101"/>
      <c r="B19" s="105" t="s">
        <v>38</v>
      </c>
      <c r="C19" s="106"/>
      <c r="D19" s="113" t="s">
        <v>17</v>
      </c>
      <c r="E19" s="107"/>
      <c r="F19" s="108"/>
      <c r="G19" s="108"/>
      <c r="H19" s="90"/>
      <c r="I19" s="90"/>
      <c r="Z19" s="109"/>
    </row>
    <row r="20" spans="1:65" s="93" customFormat="1" ht="30" customHeight="1" thickBot="1" x14ac:dyDescent="0.3">
      <c r="A20" s="101"/>
      <c r="B20" s="110" t="s">
        <v>20</v>
      </c>
      <c r="C20" s="103"/>
      <c r="D20" s="103"/>
      <c r="E20" s="111">
        <f>SUM(E21:E23)</f>
        <v>0</v>
      </c>
      <c r="F20" s="97"/>
      <c r="G20" s="97"/>
      <c r="H20" s="90"/>
      <c r="I20" s="91"/>
      <c r="J20" s="92"/>
      <c r="K20" s="92"/>
      <c r="L20" s="92"/>
      <c r="M20" s="92"/>
      <c r="N20" s="92"/>
      <c r="O20" s="92"/>
      <c r="P20" s="92"/>
      <c r="Q20" s="92"/>
      <c r="R20" s="92"/>
      <c r="S20" s="92"/>
      <c r="T20" s="92"/>
      <c r="U20" s="92"/>
      <c r="V20" s="92"/>
      <c r="W20" s="92"/>
      <c r="X20" s="92"/>
      <c r="Y20" s="92"/>
      <c r="Z20" s="100"/>
      <c r="AA20" s="92"/>
      <c r="AB20" s="92"/>
      <c r="AC20" s="92"/>
      <c r="AD20" s="92"/>
      <c r="AE20" s="92"/>
      <c r="AF20" s="92"/>
      <c r="AG20" s="92"/>
      <c r="AH20" s="92"/>
      <c r="AI20" s="92"/>
      <c r="AJ20" s="92"/>
      <c r="AK20" s="92"/>
      <c r="AL20" s="92"/>
      <c r="AM20" s="92"/>
      <c r="AN20" s="92"/>
      <c r="AO20" s="92"/>
      <c r="AP20" s="92"/>
      <c r="AQ20" s="92"/>
      <c r="AR20" s="92"/>
      <c r="AS20" s="92"/>
      <c r="AT20" s="92"/>
      <c r="AU20" s="92"/>
      <c r="AV20" s="92"/>
      <c r="AW20" s="92"/>
      <c r="AX20" s="92"/>
      <c r="AY20" s="92"/>
      <c r="AZ20" s="92"/>
      <c r="BA20" s="92"/>
      <c r="BB20" s="92"/>
      <c r="BC20" s="92"/>
      <c r="BD20" s="92"/>
      <c r="BE20" s="92"/>
      <c r="BF20" s="92"/>
      <c r="BG20" s="92"/>
      <c r="BH20" s="92"/>
      <c r="BI20" s="92"/>
      <c r="BJ20" s="92"/>
      <c r="BK20" s="92"/>
      <c r="BL20" s="92"/>
      <c r="BM20" s="92"/>
    </row>
    <row r="21" spans="1:65" s="93" customFormat="1" ht="30" customHeight="1" thickBot="1" x14ac:dyDescent="0.3">
      <c r="A21" s="101"/>
      <c r="B21" s="102" t="s">
        <v>21</v>
      </c>
      <c r="C21" s="103"/>
      <c r="D21" s="113"/>
      <c r="E21" s="104"/>
      <c r="F21" s="97"/>
      <c r="G21" s="97"/>
      <c r="H21" s="90"/>
      <c r="I21" s="91"/>
      <c r="J21" s="92"/>
      <c r="K21" s="92"/>
      <c r="L21" s="92"/>
      <c r="M21" s="92"/>
      <c r="N21" s="92"/>
      <c r="O21" s="92"/>
      <c r="P21" s="92"/>
      <c r="Q21" s="92"/>
      <c r="R21" s="92"/>
      <c r="S21" s="92"/>
      <c r="T21" s="92"/>
      <c r="U21" s="92"/>
      <c r="V21" s="92"/>
      <c r="W21" s="92"/>
      <c r="X21" s="92"/>
      <c r="Y21" s="92"/>
      <c r="Z21" s="100"/>
      <c r="AA21" s="92"/>
      <c r="AB21" s="92"/>
      <c r="AC21" s="92"/>
      <c r="AD21" s="92"/>
      <c r="AE21" s="92"/>
      <c r="AF21" s="92"/>
      <c r="AG21" s="92"/>
      <c r="AH21" s="92"/>
      <c r="AI21" s="92"/>
      <c r="AJ21" s="92"/>
      <c r="AK21" s="92"/>
      <c r="AL21" s="92"/>
      <c r="AM21" s="92"/>
      <c r="AN21" s="92"/>
      <c r="AO21" s="92"/>
      <c r="AP21" s="92"/>
      <c r="AQ21" s="92"/>
      <c r="AR21" s="92"/>
      <c r="AS21" s="92"/>
      <c r="AT21" s="92"/>
      <c r="AU21" s="92"/>
      <c r="AV21" s="92"/>
      <c r="AW21" s="92"/>
      <c r="AX21" s="92"/>
      <c r="AY21" s="92"/>
      <c r="AZ21" s="92"/>
      <c r="BA21" s="92"/>
      <c r="BB21" s="92"/>
      <c r="BC21" s="92"/>
      <c r="BD21" s="92"/>
      <c r="BE21" s="92"/>
      <c r="BF21" s="92"/>
      <c r="BG21" s="92"/>
      <c r="BH21" s="92"/>
      <c r="BI21" s="92"/>
      <c r="BJ21" s="92"/>
      <c r="BK21" s="92"/>
      <c r="BL21" s="92"/>
      <c r="BM21" s="92"/>
    </row>
    <row r="22" spans="1:65" s="93" customFormat="1" ht="30" customHeight="1" thickBot="1" x14ac:dyDescent="0.3">
      <c r="A22" s="101"/>
      <c r="B22" s="102" t="s">
        <v>22</v>
      </c>
      <c r="C22" s="103"/>
      <c r="D22" s="113"/>
      <c r="E22" s="104"/>
      <c r="F22" s="97"/>
      <c r="G22" s="97"/>
      <c r="H22" s="90"/>
      <c r="I22" s="91"/>
      <c r="J22" s="92"/>
      <c r="K22" s="92"/>
      <c r="L22" s="92"/>
      <c r="M22" s="92"/>
      <c r="N22" s="92"/>
      <c r="O22" s="92"/>
      <c r="P22" s="92"/>
      <c r="Q22" s="92"/>
      <c r="R22" s="92"/>
      <c r="S22" s="92"/>
      <c r="T22" s="92"/>
      <c r="U22" s="92"/>
      <c r="V22" s="92"/>
      <c r="W22" s="92"/>
      <c r="X22" s="92"/>
      <c r="Y22" s="92"/>
      <c r="Z22" s="100"/>
      <c r="AA22" s="92"/>
      <c r="AB22" s="92"/>
      <c r="AC22" s="92"/>
      <c r="AD22" s="92"/>
      <c r="AE22" s="92"/>
      <c r="AF22" s="92"/>
      <c r="AG22" s="92"/>
      <c r="AH22" s="92"/>
      <c r="AI22" s="92"/>
      <c r="AJ22" s="92"/>
      <c r="AK22" s="92"/>
      <c r="AL22" s="92"/>
      <c r="AM22" s="92"/>
      <c r="AN22" s="92"/>
      <c r="AO22" s="92"/>
      <c r="AP22" s="92"/>
      <c r="AQ22" s="92"/>
      <c r="AR22" s="92"/>
      <c r="AS22" s="92"/>
      <c r="AT22" s="92"/>
      <c r="AU22" s="92"/>
      <c r="AV22" s="92"/>
      <c r="AW22" s="92"/>
      <c r="AX22" s="92"/>
      <c r="AY22" s="92"/>
      <c r="AZ22" s="92"/>
      <c r="BA22" s="92"/>
      <c r="BB22" s="92"/>
      <c r="BC22" s="92"/>
      <c r="BD22" s="92"/>
      <c r="BE22" s="92"/>
      <c r="BF22" s="92"/>
      <c r="BG22" s="92"/>
      <c r="BH22" s="92"/>
      <c r="BI22" s="92"/>
      <c r="BJ22" s="92"/>
      <c r="BK22" s="92"/>
      <c r="BL22" s="92"/>
      <c r="BM22" s="92"/>
    </row>
    <row r="23" spans="1:65" s="93" customFormat="1" ht="30" customHeight="1" thickBot="1" x14ac:dyDescent="0.3">
      <c r="A23" s="101"/>
      <c r="B23" s="102" t="s">
        <v>23</v>
      </c>
      <c r="C23" s="103"/>
      <c r="D23" s="113"/>
      <c r="E23" s="104"/>
      <c r="F23" s="97">
        <v>45962</v>
      </c>
      <c r="G23" s="97">
        <f>F23+2</f>
        <v>45964</v>
      </c>
      <c r="H23" s="90"/>
      <c r="I23" s="91"/>
      <c r="J23" s="92"/>
      <c r="K23" s="92"/>
      <c r="L23" s="92"/>
      <c r="M23" s="92"/>
      <c r="N23" s="92"/>
      <c r="O23" s="92"/>
      <c r="P23" s="92"/>
      <c r="Q23" s="92"/>
      <c r="R23" s="92"/>
      <c r="S23" s="92"/>
      <c r="T23" s="92"/>
      <c r="U23" s="92"/>
      <c r="V23" s="92"/>
      <c r="W23" s="92"/>
      <c r="X23" s="92"/>
      <c r="Y23" s="92"/>
      <c r="Z23" s="100"/>
      <c r="AA23" s="92"/>
      <c r="AB23" s="92"/>
      <c r="AC23" s="92"/>
      <c r="AD23" s="92"/>
      <c r="AE23" s="92"/>
      <c r="AF23" s="92"/>
      <c r="AG23" s="92"/>
      <c r="AH23" s="92"/>
      <c r="AI23" s="92"/>
      <c r="AJ23" s="92"/>
      <c r="AK23" s="92"/>
      <c r="AL23" s="92"/>
      <c r="AM23" s="92"/>
      <c r="AN23" s="92"/>
      <c r="AO23" s="92"/>
      <c r="AP23" s="92"/>
      <c r="AQ23" s="92"/>
      <c r="AR23" s="92"/>
      <c r="AS23" s="92"/>
      <c r="AT23" s="92"/>
      <c r="AU23" s="92"/>
      <c r="AV23" s="92"/>
      <c r="AW23" s="92"/>
      <c r="AX23" s="92"/>
      <c r="AY23" s="92"/>
      <c r="AZ23" s="92"/>
      <c r="BA23" s="92"/>
      <c r="BB23" s="92"/>
      <c r="BC23" s="92"/>
      <c r="BD23" s="92"/>
      <c r="BE23" s="92"/>
      <c r="BF23" s="92"/>
      <c r="BG23" s="92"/>
      <c r="BH23" s="92"/>
      <c r="BI23" s="92"/>
      <c r="BJ23" s="92"/>
      <c r="BK23" s="92"/>
      <c r="BL23" s="92"/>
      <c r="BM23" s="92"/>
    </row>
    <row r="24" spans="1:65" s="93" customFormat="1" ht="30" customHeight="1" thickBot="1" x14ac:dyDescent="0.3">
      <c r="A24" s="101"/>
      <c r="B24" s="102"/>
      <c r="C24" s="103"/>
      <c r="D24" s="103"/>
      <c r="E24" s="104"/>
      <c r="F24" s="97"/>
      <c r="G24" s="97"/>
      <c r="H24" s="90"/>
      <c r="I24" s="91" t="str">
        <f t="shared" si="4"/>
        <v/>
      </c>
      <c r="J24" s="92"/>
      <c r="K24" s="92"/>
      <c r="L24" s="92"/>
      <c r="M24" s="92"/>
      <c r="N24" s="92"/>
      <c r="O24" s="92"/>
      <c r="P24" s="92"/>
      <c r="Q24" s="92"/>
      <c r="R24" s="92"/>
      <c r="S24" s="92"/>
      <c r="T24" s="92"/>
      <c r="U24" s="92"/>
      <c r="V24" s="92"/>
      <c r="W24" s="92"/>
      <c r="X24" s="92"/>
      <c r="Y24" s="92"/>
      <c r="Z24" s="92"/>
      <c r="AA24" s="92"/>
      <c r="AB24" s="92"/>
      <c r="AC24" s="92"/>
      <c r="AD24" s="92"/>
      <c r="AE24" s="92"/>
      <c r="AF24" s="92"/>
      <c r="AG24" s="92"/>
      <c r="AH24" s="92"/>
      <c r="AI24" s="92"/>
      <c r="AJ24" s="92"/>
      <c r="AK24" s="92"/>
      <c r="AL24" s="92"/>
      <c r="AM24" s="92"/>
      <c r="AN24" s="92"/>
      <c r="AO24" s="92"/>
      <c r="AP24" s="92"/>
      <c r="AQ24" s="92"/>
      <c r="AR24" s="92"/>
      <c r="AS24" s="92"/>
      <c r="AT24" s="92"/>
      <c r="AU24" s="92"/>
      <c r="AV24" s="92"/>
      <c r="AW24" s="92"/>
      <c r="AX24" s="92"/>
      <c r="AY24" s="92"/>
      <c r="AZ24" s="92"/>
      <c r="BA24" s="92"/>
      <c r="BB24" s="92"/>
      <c r="BC24" s="92"/>
      <c r="BD24" s="92"/>
      <c r="BE24" s="92"/>
      <c r="BF24" s="92"/>
      <c r="BG24" s="92"/>
      <c r="BH24" s="92"/>
      <c r="BI24" s="92"/>
      <c r="BJ24" s="92"/>
      <c r="BK24" s="92"/>
      <c r="BL24" s="92"/>
      <c r="BM24" s="92"/>
    </row>
    <row r="25" spans="1:65" s="40" customFormat="1" ht="30" hidden="1" customHeight="1" thickBot="1" x14ac:dyDescent="0.35">
      <c r="A25" s="8"/>
      <c r="B25" s="43" t="s">
        <v>12</v>
      </c>
      <c r="C25" s="44"/>
      <c r="D25" s="44"/>
      <c r="E25" s="45"/>
      <c r="F25" s="46"/>
      <c r="G25" s="47"/>
      <c r="H25" s="11"/>
      <c r="I25" s="5" t="str">
        <f t="shared" si="4"/>
        <v/>
      </c>
    </row>
    <row r="26" spans="1:65" s="40" customFormat="1" ht="30" hidden="1" customHeight="1" thickBot="1" x14ac:dyDescent="0.35">
      <c r="A26" s="8"/>
      <c r="B26" s="48"/>
      <c r="C26" s="49"/>
      <c r="D26" s="49"/>
      <c r="E26" s="50">
        <v>0.5</v>
      </c>
      <c r="F26" s="51">
        <f>F24+1</f>
        <v>1</v>
      </c>
      <c r="G26" s="51">
        <f>F26+4</f>
        <v>5</v>
      </c>
      <c r="H26" s="11"/>
      <c r="I26" s="5">
        <f t="shared" si="4"/>
        <v>5</v>
      </c>
      <c r="J26" s="41"/>
      <c r="K26" s="41"/>
      <c r="L26" s="41"/>
      <c r="M26" s="41"/>
      <c r="N26" s="41"/>
      <c r="O26" s="41"/>
      <c r="P26" s="41"/>
      <c r="Q26" s="41"/>
      <c r="R26" s="41"/>
      <c r="S26" s="41"/>
      <c r="T26" s="41"/>
      <c r="U26" s="41"/>
      <c r="V26" s="41"/>
      <c r="W26" s="41"/>
      <c r="X26" s="41"/>
      <c r="Y26" s="41"/>
      <c r="Z26" s="41"/>
      <c r="AA26" s="41"/>
      <c r="AB26" s="41"/>
      <c r="AC26" s="41"/>
      <c r="AD26" s="41"/>
      <c r="AE26" s="41"/>
      <c r="AF26" s="41"/>
      <c r="AG26" s="41"/>
      <c r="AH26" s="41"/>
      <c r="AI26" s="41"/>
      <c r="AJ26" s="41"/>
      <c r="AK26" s="41"/>
      <c r="AL26" s="41"/>
      <c r="AM26" s="41"/>
      <c r="AN26" s="41"/>
      <c r="AO26" s="41"/>
      <c r="AP26" s="41"/>
      <c r="AQ26" s="41"/>
      <c r="AR26" s="41"/>
      <c r="AS26" s="41"/>
      <c r="AT26" s="41"/>
      <c r="AU26" s="41"/>
      <c r="AV26" s="41"/>
      <c r="AW26" s="41"/>
      <c r="AX26" s="41"/>
      <c r="AY26" s="41"/>
      <c r="AZ26" s="41"/>
      <c r="BA26" s="41"/>
      <c r="BB26" s="41"/>
      <c r="BC26" s="41"/>
      <c r="BD26" s="41"/>
      <c r="BE26" s="41"/>
      <c r="BF26" s="41"/>
      <c r="BG26" s="41"/>
      <c r="BH26" s="41"/>
      <c r="BI26" s="41"/>
      <c r="BJ26" s="41"/>
      <c r="BK26" s="41"/>
      <c r="BL26" s="41"/>
      <c r="BM26" s="41"/>
    </row>
    <row r="27" spans="1:65" s="40" customFormat="1" ht="30" hidden="1" customHeight="1" thickBot="1" x14ac:dyDescent="0.35">
      <c r="A27" s="7"/>
      <c r="B27" s="48"/>
      <c r="C27" s="49"/>
      <c r="D27" s="49"/>
      <c r="E27" s="50">
        <v>0.5</v>
      </c>
      <c r="F27" s="51">
        <f>F26+2</f>
        <v>3</v>
      </c>
      <c r="G27" s="51">
        <f>F27+5</f>
        <v>8</v>
      </c>
      <c r="H27" s="11"/>
      <c r="I27" s="5">
        <f t="shared" si="4"/>
        <v>6</v>
      </c>
      <c r="J27" s="41"/>
      <c r="K27" s="41"/>
      <c r="L27" s="41"/>
      <c r="M27" s="41"/>
      <c r="N27" s="41"/>
      <c r="O27" s="41"/>
      <c r="P27" s="41"/>
      <c r="Q27" s="41"/>
      <c r="R27" s="41"/>
      <c r="S27" s="41"/>
      <c r="T27" s="41"/>
      <c r="U27" s="41"/>
      <c r="V27" s="42"/>
      <c r="W27" s="42"/>
      <c r="X27" s="41"/>
      <c r="Y27" s="41"/>
      <c r="Z27" s="41"/>
      <c r="AA27" s="41"/>
      <c r="AB27" s="41"/>
      <c r="AC27" s="41"/>
      <c r="AD27" s="41"/>
      <c r="AE27" s="41"/>
      <c r="AF27" s="41"/>
      <c r="AG27" s="41"/>
      <c r="AH27" s="41"/>
      <c r="AI27" s="41"/>
      <c r="AJ27" s="41"/>
      <c r="AK27" s="41"/>
      <c r="AL27" s="41"/>
      <c r="AM27" s="41"/>
      <c r="AN27" s="41"/>
      <c r="AO27" s="41"/>
      <c r="AP27" s="41"/>
      <c r="AQ27" s="41"/>
      <c r="AR27" s="41"/>
      <c r="AS27" s="41"/>
      <c r="AT27" s="41"/>
      <c r="AU27" s="41"/>
      <c r="AV27" s="41"/>
      <c r="AW27" s="41"/>
      <c r="AX27" s="41"/>
      <c r="AY27" s="41"/>
      <c r="AZ27" s="41"/>
      <c r="BA27" s="41"/>
      <c r="BB27" s="41"/>
      <c r="BC27" s="41"/>
      <c r="BD27" s="41"/>
      <c r="BE27" s="41"/>
      <c r="BF27" s="41"/>
      <c r="BG27" s="41"/>
      <c r="BH27" s="41"/>
      <c r="BI27" s="41"/>
      <c r="BJ27" s="41"/>
      <c r="BK27" s="41"/>
      <c r="BL27" s="41"/>
      <c r="BM27" s="41"/>
    </row>
    <row r="28" spans="1:65" s="40" customFormat="1" ht="30" hidden="1" customHeight="1" thickBot="1" x14ac:dyDescent="0.35">
      <c r="A28" s="7"/>
      <c r="B28" s="48"/>
      <c r="C28" s="49"/>
      <c r="D28" s="49"/>
      <c r="E28" s="50"/>
      <c r="F28" s="51">
        <f>G27</f>
        <v>8</v>
      </c>
      <c r="G28" s="51">
        <f>F28+3</f>
        <v>11</v>
      </c>
      <c r="H28" s="11"/>
      <c r="I28" s="5">
        <f t="shared" si="4"/>
        <v>4</v>
      </c>
      <c r="J28" s="41"/>
      <c r="K28" s="41"/>
      <c r="L28" s="41"/>
      <c r="M28" s="41"/>
      <c r="N28" s="41"/>
      <c r="O28" s="41"/>
      <c r="P28" s="41"/>
      <c r="Q28" s="41"/>
      <c r="R28" s="41"/>
      <c r="S28" s="41"/>
      <c r="T28" s="41"/>
      <c r="U28" s="41"/>
      <c r="V28" s="41"/>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41"/>
      <c r="BG28" s="41"/>
      <c r="BH28" s="41"/>
      <c r="BI28" s="41"/>
      <c r="BJ28" s="41"/>
      <c r="BK28" s="41"/>
      <c r="BL28" s="41"/>
      <c r="BM28" s="41"/>
    </row>
    <row r="29" spans="1:65" s="40" customFormat="1" ht="30" hidden="1" customHeight="1" thickBot="1" x14ac:dyDescent="0.35">
      <c r="A29" s="7"/>
      <c r="B29" s="48"/>
      <c r="C29" s="49"/>
      <c r="D29" s="49"/>
      <c r="E29" s="50"/>
      <c r="F29" s="51">
        <f>F28</f>
        <v>8</v>
      </c>
      <c r="G29" s="51">
        <f>F29+2</f>
        <v>10</v>
      </c>
      <c r="H29" s="11"/>
      <c r="I29" s="5">
        <f t="shared" si="4"/>
        <v>3</v>
      </c>
      <c r="J29" s="41"/>
      <c r="K29" s="41"/>
      <c r="L29" s="41"/>
      <c r="M29" s="41"/>
      <c r="N29" s="41"/>
      <c r="O29" s="41"/>
      <c r="P29" s="41"/>
      <c r="Q29" s="41"/>
      <c r="R29" s="41"/>
      <c r="S29" s="41"/>
      <c r="T29" s="41"/>
      <c r="U29" s="41"/>
      <c r="V29" s="41"/>
      <c r="W29" s="41"/>
      <c r="X29" s="41"/>
      <c r="Y29" s="41"/>
      <c r="Z29" s="42"/>
      <c r="AA29" s="41"/>
      <c r="AB29" s="41"/>
      <c r="AC29" s="41"/>
      <c r="AD29" s="41"/>
      <c r="AE29" s="41"/>
      <c r="AF29" s="41"/>
      <c r="AG29" s="41"/>
      <c r="AH29" s="41"/>
      <c r="AI29" s="41"/>
      <c r="AJ29" s="41"/>
      <c r="AK29" s="41"/>
      <c r="AL29" s="41"/>
      <c r="AM29" s="41"/>
      <c r="AN29" s="41"/>
      <c r="AO29" s="41"/>
      <c r="AP29" s="41"/>
      <c r="AQ29" s="41"/>
      <c r="AR29" s="41"/>
      <c r="AS29" s="41"/>
      <c r="AT29" s="41"/>
      <c r="AU29" s="41"/>
      <c r="AV29" s="41"/>
      <c r="AW29" s="41"/>
      <c r="AX29" s="41"/>
      <c r="AY29" s="41"/>
      <c r="AZ29" s="41"/>
      <c r="BA29" s="41"/>
      <c r="BB29" s="41"/>
      <c r="BC29" s="41"/>
      <c r="BD29" s="41"/>
      <c r="BE29" s="41"/>
      <c r="BF29" s="41"/>
      <c r="BG29" s="41"/>
      <c r="BH29" s="41"/>
      <c r="BI29" s="41"/>
      <c r="BJ29" s="41"/>
      <c r="BK29" s="41"/>
      <c r="BL29" s="41"/>
      <c r="BM29" s="41"/>
    </row>
    <row r="30" spans="1:65" s="40" customFormat="1" ht="30" hidden="1" customHeight="1" thickBot="1" x14ac:dyDescent="0.35">
      <c r="A30" s="7"/>
      <c r="B30" s="48"/>
      <c r="C30" s="49"/>
      <c r="D30" s="49"/>
      <c r="E30" s="50"/>
      <c r="F30" s="51">
        <f>F29</f>
        <v>8</v>
      </c>
      <c r="G30" s="51">
        <f>F30+3</f>
        <v>11</v>
      </c>
      <c r="H30" s="11"/>
      <c r="I30" s="5">
        <f t="shared" si="4"/>
        <v>4</v>
      </c>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41"/>
      <c r="BG30" s="41"/>
      <c r="BH30" s="41"/>
      <c r="BI30" s="41"/>
      <c r="BJ30" s="41"/>
      <c r="BK30" s="41"/>
      <c r="BL30" s="41"/>
      <c r="BM30" s="41"/>
    </row>
    <row r="31" spans="1:65" s="40" customFormat="1" ht="30" hidden="1" customHeight="1" thickBot="1" x14ac:dyDescent="0.35">
      <c r="A31" s="7"/>
      <c r="B31" s="52" t="s">
        <v>13</v>
      </c>
      <c r="C31" s="53"/>
      <c r="D31" s="53"/>
      <c r="E31" s="54"/>
      <c r="F31" s="55"/>
      <c r="G31" s="56"/>
      <c r="H31" s="11"/>
      <c r="I31" s="5" t="str">
        <f t="shared" si="4"/>
        <v/>
      </c>
      <c r="J31" s="57"/>
      <c r="K31" s="57"/>
      <c r="L31" s="57"/>
      <c r="M31" s="57"/>
      <c r="N31" s="57"/>
      <c r="O31" s="57"/>
      <c r="P31" s="57"/>
      <c r="Q31" s="57"/>
      <c r="R31" s="57"/>
      <c r="S31" s="57"/>
      <c r="T31" s="57"/>
      <c r="U31" s="57"/>
      <c r="V31" s="57"/>
      <c r="W31" s="57"/>
      <c r="X31" s="57"/>
      <c r="Y31" s="57"/>
      <c r="Z31" s="57"/>
      <c r="AA31" s="57"/>
      <c r="AB31" s="57"/>
      <c r="AC31" s="57"/>
      <c r="AD31" s="57"/>
      <c r="AE31" s="57"/>
      <c r="AF31" s="57"/>
      <c r="AG31" s="57"/>
      <c r="AH31" s="57"/>
      <c r="AI31" s="57"/>
      <c r="AJ31" s="57"/>
      <c r="AK31" s="57"/>
      <c r="AL31" s="57"/>
      <c r="AM31" s="57"/>
      <c r="AN31" s="57"/>
      <c r="AO31" s="57"/>
      <c r="AP31" s="57"/>
      <c r="AQ31" s="57"/>
      <c r="AR31" s="57"/>
      <c r="AS31" s="57"/>
      <c r="AT31" s="57"/>
      <c r="AU31" s="57"/>
      <c r="AV31" s="57"/>
      <c r="AW31" s="57"/>
      <c r="AX31" s="57"/>
      <c r="AY31" s="57"/>
      <c r="AZ31" s="57"/>
      <c r="BA31" s="57"/>
      <c r="BB31" s="57"/>
      <c r="BC31" s="57"/>
      <c r="BD31" s="57"/>
      <c r="BE31" s="57"/>
      <c r="BF31" s="57"/>
      <c r="BG31" s="57"/>
      <c r="BH31" s="57"/>
      <c r="BI31" s="57"/>
      <c r="BJ31" s="57"/>
      <c r="BK31" s="57"/>
      <c r="BL31" s="57"/>
      <c r="BM31" s="57"/>
    </row>
    <row r="32" spans="1:65" s="40" customFormat="1" ht="30" hidden="1" customHeight="1" thickBot="1" x14ac:dyDescent="0.35">
      <c r="A32" s="7"/>
      <c r="B32" s="58"/>
      <c r="C32" s="59"/>
      <c r="D32" s="59"/>
      <c r="E32" s="60">
        <v>0.5</v>
      </c>
      <c r="F32" s="61">
        <f>F9+15</f>
        <v>15</v>
      </c>
      <c r="G32" s="61">
        <f>F32+5</f>
        <v>20</v>
      </c>
      <c r="H32" s="11"/>
      <c r="I32" s="5">
        <f t="shared" si="4"/>
        <v>6</v>
      </c>
      <c r="J32" s="41"/>
      <c r="K32" s="41"/>
      <c r="L32" s="41"/>
      <c r="M32" s="41"/>
      <c r="N32" s="41"/>
      <c r="O32" s="41"/>
      <c r="P32" s="41"/>
      <c r="Q32" s="41"/>
      <c r="R32" s="41"/>
      <c r="S32" s="41"/>
      <c r="T32" s="41"/>
      <c r="U32" s="41"/>
      <c r="V32" s="41"/>
      <c r="W32" s="41"/>
      <c r="X32" s="41"/>
      <c r="Y32" s="41"/>
      <c r="Z32" s="41"/>
      <c r="AA32" s="41"/>
      <c r="AB32" s="41"/>
      <c r="AC32" s="41"/>
      <c r="AD32" s="41"/>
      <c r="AE32" s="41"/>
      <c r="AF32" s="41"/>
      <c r="AG32" s="41"/>
      <c r="AH32" s="41"/>
      <c r="AI32" s="41"/>
      <c r="AJ32" s="41"/>
      <c r="AK32" s="41"/>
      <c r="AL32" s="41"/>
      <c r="AM32" s="41"/>
      <c r="AN32" s="41"/>
      <c r="AO32" s="41"/>
      <c r="AP32" s="41"/>
      <c r="AQ32" s="41"/>
      <c r="AR32" s="41"/>
      <c r="AS32" s="41"/>
      <c r="AT32" s="41"/>
      <c r="AU32" s="41"/>
      <c r="AV32" s="41"/>
      <c r="AW32" s="41"/>
      <c r="AX32" s="41"/>
      <c r="AY32" s="41"/>
      <c r="AZ32" s="41"/>
      <c r="BA32" s="41"/>
      <c r="BB32" s="41"/>
      <c r="BC32" s="41"/>
      <c r="BD32" s="41"/>
      <c r="BE32" s="41"/>
      <c r="BF32" s="41"/>
      <c r="BG32" s="41"/>
      <c r="BH32" s="41"/>
      <c r="BI32" s="41"/>
      <c r="BJ32" s="41"/>
      <c r="BK32" s="41"/>
      <c r="BL32" s="41"/>
      <c r="BM32" s="41"/>
    </row>
    <row r="33" spans="1:65" s="40" customFormat="1" ht="30" hidden="1" customHeight="1" thickBot="1" x14ac:dyDescent="0.35">
      <c r="A33" s="7"/>
      <c r="B33" s="58"/>
      <c r="C33" s="59"/>
      <c r="D33" s="59"/>
      <c r="E33" s="60">
        <v>0.6</v>
      </c>
      <c r="F33" s="61">
        <f>G32+1</f>
        <v>21</v>
      </c>
      <c r="G33" s="61">
        <f>F33+4</f>
        <v>25</v>
      </c>
      <c r="H33" s="11"/>
      <c r="I33" s="5">
        <f t="shared" si="4"/>
        <v>5</v>
      </c>
      <c r="J33" s="41"/>
      <c r="K33" s="41"/>
      <c r="L33" s="41"/>
      <c r="M33" s="41"/>
      <c r="N33" s="41"/>
      <c r="O33" s="41"/>
      <c r="P33" s="41"/>
      <c r="Q33" s="41"/>
      <c r="R33" s="41"/>
      <c r="S33" s="41"/>
      <c r="T33" s="41"/>
      <c r="U33" s="41"/>
      <c r="V33" s="41"/>
      <c r="W33" s="41"/>
      <c r="X33" s="41"/>
      <c r="Y33" s="41"/>
      <c r="Z33" s="41"/>
      <c r="AA33" s="41"/>
      <c r="AB33" s="41"/>
      <c r="AC33" s="41"/>
      <c r="AD33" s="41"/>
      <c r="AE33" s="41"/>
      <c r="AF33" s="41"/>
      <c r="AG33" s="41"/>
      <c r="AH33" s="41"/>
      <c r="AI33" s="41"/>
      <c r="AJ33" s="41"/>
      <c r="AK33" s="41"/>
      <c r="AL33" s="41"/>
      <c r="AM33" s="41"/>
      <c r="AN33" s="41"/>
      <c r="AO33" s="41"/>
      <c r="AP33" s="41"/>
      <c r="AQ33" s="41"/>
      <c r="AR33" s="41"/>
      <c r="AS33" s="41"/>
      <c r="AT33" s="41"/>
      <c r="AU33" s="41"/>
      <c r="AV33" s="41"/>
      <c r="AW33" s="41"/>
      <c r="AX33" s="41"/>
      <c r="AY33" s="41"/>
      <c r="AZ33" s="41"/>
      <c r="BA33" s="41"/>
      <c r="BB33" s="41"/>
      <c r="BC33" s="41"/>
      <c r="BD33" s="41"/>
      <c r="BE33" s="41"/>
      <c r="BF33" s="41"/>
      <c r="BG33" s="41"/>
      <c r="BH33" s="41"/>
      <c r="BI33" s="41"/>
      <c r="BJ33" s="41"/>
      <c r="BK33" s="41"/>
      <c r="BL33" s="41"/>
      <c r="BM33" s="41"/>
    </row>
    <row r="34" spans="1:65" s="40" customFormat="1" ht="30" hidden="1" customHeight="1" thickBot="1" x14ac:dyDescent="0.35">
      <c r="A34" s="7"/>
      <c r="B34" s="58"/>
      <c r="C34" s="59"/>
      <c r="D34" s="59"/>
      <c r="E34" s="60">
        <v>0.5</v>
      </c>
      <c r="F34" s="61">
        <f>F33+5</f>
        <v>26</v>
      </c>
      <c r="G34" s="61">
        <f>F34+5</f>
        <v>31</v>
      </c>
      <c r="H34" s="11"/>
      <c r="I34" s="5">
        <f t="shared" si="4"/>
        <v>6</v>
      </c>
      <c r="J34" s="41"/>
      <c r="K34" s="41"/>
      <c r="L34" s="41"/>
      <c r="M34" s="41"/>
      <c r="N34" s="41"/>
      <c r="O34" s="41"/>
      <c r="P34" s="41"/>
      <c r="Q34" s="41"/>
      <c r="R34" s="41"/>
      <c r="S34" s="41"/>
      <c r="T34" s="41"/>
      <c r="U34" s="41"/>
      <c r="V34" s="41"/>
      <c r="W34" s="41"/>
      <c r="X34" s="41"/>
      <c r="Y34" s="41"/>
      <c r="Z34" s="41"/>
      <c r="AA34" s="41"/>
      <c r="AB34" s="41"/>
      <c r="AC34" s="41"/>
      <c r="AD34" s="41"/>
      <c r="AE34" s="41"/>
      <c r="AF34" s="41"/>
      <c r="AG34" s="41"/>
      <c r="AH34" s="41"/>
      <c r="AI34" s="41"/>
      <c r="AJ34" s="41"/>
      <c r="AK34" s="41"/>
      <c r="AL34" s="41"/>
      <c r="AM34" s="41"/>
      <c r="AN34" s="41"/>
      <c r="AO34" s="41"/>
      <c r="AP34" s="41"/>
      <c r="AQ34" s="41"/>
      <c r="AR34" s="41"/>
      <c r="AS34" s="41"/>
      <c r="AT34" s="41"/>
      <c r="AU34" s="41"/>
      <c r="AV34" s="41"/>
      <c r="AW34" s="41"/>
      <c r="AX34" s="41"/>
      <c r="AY34" s="41"/>
      <c r="AZ34" s="41"/>
      <c r="BA34" s="41"/>
      <c r="BB34" s="41"/>
      <c r="BC34" s="41"/>
      <c r="BD34" s="41"/>
      <c r="BE34" s="41"/>
      <c r="BF34" s="41"/>
      <c r="BG34" s="41"/>
      <c r="BH34" s="41"/>
      <c r="BI34" s="41"/>
      <c r="BJ34" s="41"/>
      <c r="BK34" s="41"/>
      <c r="BL34" s="41"/>
      <c r="BM34" s="41"/>
    </row>
    <row r="35" spans="1:65" s="40" customFormat="1" ht="30" hidden="1" customHeight="1" thickBot="1" x14ac:dyDescent="0.35">
      <c r="A35" s="7"/>
      <c r="B35" s="58"/>
      <c r="C35" s="59"/>
      <c r="D35" s="59"/>
      <c r="E35" s="60">
        <v>0.25</v>
      </c>
      <c r="F35" s="61">
        <f>G34+1</f>
        <v>32</v>
      </c>
      <c r="G35" s="61">
        <f>F35+4</f>
        <v>36</v>
      </c>
      <c r="H35" s="11"/>
      <c r="I35" s="5">
        <f t="shared" si="4"/>
        <v>5</v>
      </c>
      <c r="J35" s="41"/>
      <c r="K35" s="41"/>
      <c r="L35" s="41"/>
      <c r="M35" s="41"/>
      <c r="N35" s="41"/>
      <c r="O35" s="41"/>
      <c r="P35" s="41"/>
      <c r="Q35" s="41"/>
      <c r="R35" s="41"/>
      <c r="S35" s="41"/>
      <c r="T35" s="41"/>
      <c r="U35" s="41"/>
      <c r="V35" s="41"/>
      <c r="W35" s="41"/>
      <c r="X35" s="41"/>
      <c r="Y35" s="41"/>
      <c r="Z35" s="41"/>
      <c r="AA35" s="41"/>
      <c r="AB35" s="41"/>
      <c r="AC35" s="41"/>
      <c r="AD35" s="41"/>
      <c r="AE35" s="41"/>
      <c r="AF35" s="41"/>
      <c r="AG35" s="41"/>
      <c r="AH35" s="41"/>
      <c r="AI35" s="41"/>
      <c r="AJ35" s="41"/>
      <c r="AK35" s="41"/>
      <c r="AL35" s="41"/>
      <c r="AM35" s="41"/>
      <c r="AN35" s="41"/>
      <c r="AO35" s="41"/>
      <c r="AP35" s="41"/>
      <c r="AQ35" s="41"/>
      <c r="AR35" s="41"/>
      <c r="AS35" s="41"/>
      <c r="AT35" s="41"/>
      <c r="AU35" s="41"/>
      <c r="AV35" s="41"/>
      <c r="AW35" s="41"/>
      <c r="AX35" s="41"/>
      <c r="AY35" s="41"/>
      <c r="AZ35" s="41"/>
      <c r="BA35" s="41"/>
      <c r="BB35" s="41"/>
      <c r="BC35" s="41"/>
      <c r="BD35" s="41"/>
      <c r="BE35" s="41"/>
      <c r="BF35" s="41"/>
      <c r="BG35" s="41"/>
      <c r="BH35" s="41"/>
      <c r="BI35" s="41"/>
      <c r="BJ35" s="41"/>
      <c r="BK35" s="41"/>
      <c r="BL35" s="41"/>
      <c r="BM35" s="41"/>
    </row>
    <row r="36" spans="1:65" s="40" customFormat="1" ht="30" hidden="1" customHeight="1" thickBot="1" x14ac:dyDescent="0.35">
      <c r="A36" s="7"/>
      <c r="B36" s="58"/>
      <c r="C36" s="59"/>
      <c r="D36" s="59"/>
      <c r="E36" s="60">
        <v>0.25</v>
      </c>
      <c r="F36" s="61">
        <f>F34</f>
        <v>26</v>
      </c>
      <c r="G36" s="61">
        <f>F36+4</f>
        <v>30</v>
      </c>
      <c r="H36" s="11"/>
      <c r="I36" s="5">
        <f t="shared" si="4"/>
        <v>5</v>
      </c>
      <c r="J36" s="41"/>
      <c r="K36" s="41"/>
      <c r="L36" s="41"/>
      <c r="M36" s="41"/>
      <c r="N36" s="41"/>
      <c r="O36" s="41"/>
      <c r="P36" s="41"/>
      <c r="Q36" s="41"/>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c r="AR36" s="41"/>
      <c r="AS36" s="41"/>
      <c r="AT36" s="41"/>
      <c r="AU36" s="41"/>
      <c r="AV36" s="41"/>
      <c r="AW36" s="41"/>
      <c r="AX36" s="41"/>
      <c r="AY36" s="41"/>
      <c r="AZ36" s="41"/>
      <c r="BA36" s="41"/>
      <c r="BB36" s="41"/>
      <c r="BC36" s="41"/>
      <c r="BD36" s="41"/>
      <c r="BE36" s="41"/>
      <c r="BF36" s="41"/>
      <c r="BG36" s="41"/>
      <c r="BH36" s="41"/>
      <c r="BI36" s="41"/>
      <c r="BJ36" s="41"/>
      <c r="BK36" s="41"/>
      <c r="BL36" s="41"/>
      <c r="BM36" s="41"/>
    </row>
    <row r="37" spans="1:65" s="40" customFormat="1" ht="30" hidden="1" customHeight="1" thickBot="1" x14ac:dyDescent="0.35">
      <c r="A37" s="7"/>
      <c r="B37" s="62" t="s">
        <v>14</v>
      </c>
      <c r="C37" s="63"/>
      <c r="D37" s="63"/>
      <c r="E37" s="64"/>
      <c r="F37" s="65"/>
      <c r="G37" s="66"/>
      <c r="H37" s="11"/>
      <c r="I37" s="5" t="str">
        <f t="shared" si="4"/>
        <v/>
      </c>
      <c r="J37" s="67"/>
      <c r="K37" s="67"/>
      <c r="L37" s="67"/>
      <c r="M37" s="67"/>
      <c r="N37" s="67"/>
      <c r="O37" s="67"/>
      <c r="P37" s="67"/>
      <c r="Q37" s="67"/>
      <c r="R37" s="67"/>
      <c r="S37" s="67"/>
      <c r="T37" s="67"/>
      <c r="U37" s="67"/>
      <c r="V37" s="67"/>
      <c r="W37" s="67"/>
      <c r="X37" s="67"/>
      <c r="Y37" s="67"/>
      <c r="Z37" s="67"/>
      <c r="AA37" s="67"/>
      <c r="AB37" s="67"/>
      <c r="AC37" s="67"/>
      <c r="AD37" s="67"/>
      <c r="AE37" s="67"/>
      <c r="AF37" s="67"/>
      <c r="AG37" s="67"/>
      <c r="AH37" s="67"/>
      <c r="AI37" s="67"/>
      <c r="AJ37" s="67"/>
      <c r="AK37" s="67"/>
      <c r="AL37" s="67"/>
      <c r="AM37" s="67"/>
      <c r="AN37" s="67"/>
      <c r="AO37" s="67"/>
      <c r="AP37" s="67"/>
      <c r="AQ37" s="67"/>
      <c r="AR37" s="67"/>
      <c r="AS37" s="67"/>
      <c r="AT37" s="67"/>
      <c r="AU37" s="67"/>
      <c r="AV37" s="67"/>
      <c r="AW37" s="67"/>
      <c r="AX37" s="67"/>
      <c r="AY37" s="67"/>
      <c r="AZ37" s="67"/>
      <c r="BA37" s="67"/>
      <c r="BB37" s="67"/>
      <c r="BC37" s="67"/>
      <c r="BD37" s="67"/>
      <c r="BE37" s="67"/>
      <c r="BF37" s="67"/>
      <c r="BG37" s="67"/>
      <c r="BH37" s="67"/>
      <c r="BI37" s="67"/>
      <c r="BJ37" s="67"/>
      <c r="BK37" s="67"/>
      <c r="BL37" s="67"/>
      <c r="BM37" s="67"/>
    </row>
    <row r="38" spans="1:65" s="40" customFormat="1" ht="30" hidden="1" customHeight="1" thickBot="1" x14ac:dyDescent="0.35">
      <c r="A38" s="7"/>
      <c r="B38" s="68"/>
      <c r="C38" s="69"/>
      <c r="D38" s="69"/>
      <c r="E38" s="70">
        <v>0.25</v>
      </c>
      <c r="F38" s="71">
        <f>F32+2</f>
        <v>17</v>
      </c>
      <c r="G38" s="71">
        <f>F38+3</f>
        <v>20</v>
      </c>
      <c r="H38" s="11"/>
      <c r="I38" s="5">
        <f t="shared" si="4"/>
        <v>4</v>
      </c>
      <c r="J38" s="41"/>
      <c r="K38" s="41"/>
      <c r="L38" s="41"/>
      <c r="M38" s="41"/>
      <c r="N38" s="41"/>
      <c r="O38" s="41"/>
      <c r="P38" s="41"/>
      <c r="Q38" s="41"/>
      <c r="R38" s="41"/>
      <c r="S38" s="41"/>
      <c r="T38" s="41"/>
      <c r="U38" s="41"/>
      <c r="V38" s="41"/>
      <c r="W38" s="41"/>
      <c r="X38" s="41"/>
      <c r="Y38" s="41"/>
      <c r="Z38" s="41"/>
      <c r="AA38" s="41"/>
      <c r="AB38" s="41"/>
      <c r="AC38" s="41"/>
      <c r="AD38" s="41"/>
      <c r="AE38" s="41"/>
      <c r="AF38" s="41"/>
      <c r="AG38" s="41"/>
      <c r="AH38" s="41"/>
      <c r="AI38" s="41"/>
      <c r="AJ38" s="41"/>
      <c r="AK38" s="41"/>
      <c r="AL38" s="41"/>
      <c r="AM38" s="41"/>
      <c r="AN38" s="41"/>
      <c r="AO38" s="41"/>
      <c r="AP38" s="41"/>
      <c r="AQ38" s="41"/>
      <c r="AR38" s="41"/>
      <c r="AS38" s="41"/>
      <c r="AT38" s="41"/>
      <c r="AU38" s="41"/>
      <c r="AV38" s="41"/>
      <c r="AW38" s="41"/>
      <c r="AX38" s="41"/>
      <c r="AY38" s="41"/>
      <c r="AZ38" s="41"/>
      <c r="BA38" s="41"/>
      <c r="BB38" s="41"/>
      <c r="BC38" s="41"/>
      <c r="BD38" s="41"/>
      <c r="BE38" s="41"/>
      <c r="BF38" s="41"/>
      <c r="BG38" s="41"/>
      <c r="BH38" s="41"/>
      <c r="BI38" s="41"/>
      <c r="BJ38" s="41"/>
      <c r="BK38" s="41"/>
      <c r="BL38" s="41"/>
      <c r="BM38" s="41"/>
    </row>
    <row r="39" spans="1:65" s="40" customFormat="1" ht="30" hidden="1" customHeight="1" thickBot="1" x14ac:dyDescent="0.35">
      <c r="A39" s="7"/>
      <c r="B39" s="68"/>
      <c r="C39" s="69"/>
      <c r="D39" s="69"/>
      <c r="E39" s="70">
        <v>0.25</v>
      </c>
      <c r="F39" s="71">
        <f>G38</f>
        <v>20</v>
      </c>
      <c r="G39" s="71">
        <f>F39+4</f>
        <v>24</v>
      </c>
      <c r="H39" s="11"/>
      <c r="I39" s="5">
        <f t="shared" si="4"/>
        <v>5</v>
      </c>
      <c r="J39" s="41"/>
      <c r="K39" s="41"/>
      <c r="L39" s="41"/>
      <c r="M39" s="4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1"/>
      <c r="AS39" s="41"/>
      <c r="AT39" s="41"/>
      <c r="AU39" s="41"/>
      <c r="AV39" s="41"/>
      <c r="AW39" s="41"/>
      <c r="AX39" s="41"/>
      <c r="AY39" s="41"/>
      <c r="AZ39" s="41"/>
      <c r="BA39" s="41"/>
      <c r="BB39" s="41"/>
      <c r="BC39" s="41"/>
      <c r="BD39" s="41"/>
      <c r="BE39" s="41"/>
      <c r="BF39" s="41"/>
      <c r="BG39" s="41"/>
      <c r="BH39" s="41"/>
      <c r="BI39" s="41"/>
      <c r="BJ39" s="41"/>
      <c r="BK39" s="41"/>
      <c r="BL39" s="41"/>
      <c r="BM39" s="41"/>
    </row>
    <row r="40" spans="1:65" s="40" customFormat="1" ht="30" hidden="1" customHeight="1" thickBot="1" x14ac:dyDescent="0.35">
      <c r="A40" s="7"/>
      <c r="B40" s="68"/>
      <c r="C40" s="69"/>
      <c r="D40" s="69"/>
      <c r="E40" s="70">
        <v>0.5</v>
      </c>
      <c r="F40" s="71">
        <f>G39+1</f>
        <v>25</v>
      </c>
      <c r="G40" s="71">
        <f>F40+3</f>
        <v>28</v>
      </c>
      <c r="H40" s="11"/>
      <c r="I40" s="5">
        <f t="shared" si="4"/>
        <v>4</v>
      </c>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1"/>
      <c r="BC40" s="41"/>
      <c r="BD40" s="41"/>
      <c r="BE40" s="41"/>
      <c r="BF40" s="41"/>
      <c r="BG40" s="41"/>
      <c r="BH40" s="41"/>
      <c r="BI40" s="41"/>
      <c r="BJ40" s="41"/>
      <c r="BK40" s="41"/>
      <c r="BL40" s="41"/>
      <c r="BM40" s="41"/>
    </row>
    <row r="41" spans="1:65" s="40" customFormat="1" ht="30" hidden="1" customHeight="1" thickBot="1" x14ac:dyDescent="0.35">
      <c r="A41" s="7"/>
      <c r="B41" s="68"/>
      <c r="C41" s="69"/>
      <c r="D41" s="69"/>
      <c r="E41" s="70">
        <v>0.6</v>
      </c>
      <c r="F41" s="71">
        <f>F38+5</f>
        <v>22</v>
      </c>
      <c r="G41" s="71">
        <f>F41+3</f>
        <v>25</v>
      </c>
      <c r="H41" s="11"/>
      <c r="I41" s="5">
        <f t="shared" si="4"/>
        <v>4</v>
      </c>
      <c r="J41" s="41"/>
      <c r="K41" s="41"/>
      <c r="L41" s="41"/>
      <c r="M41" s="41"/>
      <c r="N41" s="41"/>
      <c r="O41" s="41"/>
      <c r="P41" s="41"/>
      <c r="Q41" s="41"/>
      <c r="R41" s="41"/>
      <c r="S41" s="41"/>
      <c r="T41" s="41"/>
      <c r="U41" s="41"/>
      <c r="V41" s="41"/>
      <c r="W41" s="41"/>
      <c r="X41" s="41"/>
      <c r="Y41" s="41"/>
      <c r="Z41" s="41"/>
      <c r="AA41" s="41"/>
      <c r="AB41" s="41"/>
      <c r="AC41" s="41"/>
      <c r="AD41" s="41"/>
      <c r="AE41" s="41"/>
      <c r="AF41" s="41"/>
      <c r="AG41" s="41"/>
      <c r="AH41" s="41"/>
      <c r="AI41" s="41"/>
      <c r="AJ41" s="41"/>
      <c r="AK41" s="41"/>
      <c r="AL41" s="41"/>
      <c r="AM41" s="41"/>
      <c r="AN41" s="41"/>
      <c r="AO41" s="41"/>
      <c r="AP41" s="41"/>
      <c r="AQ41" s="41"/>
      <c r="AR41" s="41"/>
      <c r="AS41" s="41"/>
      <c r="AT41" s="41"/>
      <c r="AU41" s="41"/>
      <c r="AV41" s="41"/>
      <c r="AW41" s="41"/>
      <c r="AX41" s="41"/>
      <c r="AY41" s="41"/>
      <c r="AZ41" s="41"/>
      <c r="BA41" s="41"/>
      <c r="BB41" s="41"/>
      <c r="BC41" s="41"/>
      <c r="BD41" s="41"/>
      <c r="BE41" s="41"/>
      <c r="BF41" s="41"/>
      <c r="BG41" s="41"/>
      <c r="BH41" s="41"/>
      <c r="BI41" s="41"/>
      <c r="BJ41" s="41"/>
      <c r="BK41" s="41"/>
      <c r="BL41" s="41"/>
      <c r="BM41" s="41"/>
    </row>
    <row r="42" spans="1:65" s="40" customFormat="1" ht="30" hidden="1" customHeight="1" thickBot="1" x14ac:dyDescent="0.35">
      <c r="A42" s="7"/>
      <c r="B42" s="68"/>
      <c r="C42" s="69"/>
      <c r="D42" s="69"/>
      <c r="E42" s="70">
        <v>0.5</v>
      </c>
      <c r="F42" s="71">
        <f>F38+7</f>
        <v>24</v>
      </c>
      <c r="G42" s="71">
        <f>F42+5</f>
        <v>29</v>
      </c>
      <c r="H42" s="11"/>
      <c r="I42" s="5">
        <f t="shared" si="4"/>
        <v>6</v>
      </c>
      <c r="J42" s="41"/>
      <c r="K42" s="41"/>
      <c r="L42" s="41"/>
      <c r="M42" s="41"/>
      <c r="N42" s="41"/>
      <c r="O42" s="41"/>
      <c r="P42" s="41"/>
      <c r="Q42" s="41"/>
      <c r="R42" s="41"/>
      <c r="S42" s="41"/>
      <c r="T42" s="41"/>
      <c r="U42" s="41"/>
      <c r="V42" s="41"/>
      <c r="W42" s="41"/>
      <c r="X42" s="41"/>
      <c r="Y42" s="41"/>
      <c r="Z42" s="41"/>
      <c r="AA42" s="41"/>
      <c r="AB42" s="41"/>
      <c r="AC42" s="41"/>
      <c r="AD42" s="41"/>
      <c r="AE42" s="41"/>
      <c r="AF42" s="41"/>
      <c r="AG42" s="41"/>
      <c r="AH42" s="41"/>
      <c r="AI42" s="41"/>
      <c r="AJ42" s="41"/>
      <c r="AK42" s="41"/>
      <c r="AL42" s="41"/>
      <c r="AM42" s="41"/>
      <c r="AN42" s="41"/>
      <c r="AO42" s="41"/>
      <c r="AP42" s="41"/>
      <c r="AQ42" s="41"/>
      <c r="AR42" s="41"/>
      <c r="AS42" s="41"/>
      <c r="AT42" s="41"/>
      <c r="AU42" s="41"/>
      <c r="AV42" s="41"/>
      <c r="AW42" s="41"/>
      <c r="AX42" s="41"/>
      <c r="AY42" s="41"/>
      <c r="AZ42" s="41"/>
      <c r="BA42" s="41"/>
      <c r="BB42" s="41"/>
      <c r="BC42" s="41"/>
      <c r="BD42" s="41"/>
      <c r="BE42" s="41"/>
      <c r="BF42" s="41"/>
      <c r="BG42" s="41"/>
      <c r="BH42" s="41"/>
      <c r="BI42" s="41"/>
      <c r="BJ42" s="41"/>
      <c r="BK42" s="41"/>
      <c r="BL42" s="41"/>
      <c r="BM42" s="41"/>
    </row>
    <row r="43" spans="1:65" s="40" customFormat="1" ht="30" hidden="1" customHeight="1" thickBot="1" x14ac:dyDescent="0.35">
      <c r="A43" s="7"/>
      <c r="B43" s="62" t="s">
        <v>14</v>
      </c>
      <c r="C43" s="63"/>
      <c r="D43" s="63"/>
      <c r="E43" s="64"/>
      <c r="F43" s="65"/>
      <c r="G43" s="66"/>
      <c r="H43" s="11"/>
      <c r="I43" s="5" t="str">
        <f t="shared" si="4"/>
        <v/>
      </c>
      <c r="J43" s="67"/>
      <c r="K43" s="67"/>
      <c r="L43" s="67"/>
      <c r="M43" s="67"/>
      <c r="N43" s="67"/>
      <c r="O43" s="67"/>
      <c r="P43" s="67"/>
      <c r="Q43" s="67"/>
      <c r="R43" s="67"/>
      <c r="S43" s="67"/>
      <c r="T43" s="67"/>
      <c r="U43" s="67"/>
      <c r="V43" s="67"/>
      <c r="W43" s="67"/>
      <c r="X43" s="67"/>
      <c r="Y43" s="67"/>
      <c r="Z43" s="67"/>
      <c r="AA43" s="67"/>
      <c r="AB43" s="67"/>
      <c r="AC43" s="67"/>
      <c r="AD43" s="67"/>
      <c r="AE43" s="67"/>
      <c r="AF43" s="67"/>
      <c r="AG43" s="67"/>
      <c r="AH43" s="67"/>
      <c r="AI43" s="67"/>
      <c r="AJ43" s="67"/>
      <c r="AK43" s="67"/>
      <c r="AL43" s="67"/>
      <c r="AM43" s="67"/>
      <c r="AN43" s="67"/>
      <c r="AO43" s="67"/>
      <c r="AP43" s="67"/>
      <c r="AQ43" s="67"/>
      <c r="AR43" s="67"/>
      <c r="AS43" s="67"/>
      <c r="AT43" s="67"/>
      <c r="AU43" s="67"/>
      <c r="AV43" s="67"/>
      <c r="AW43" s="67"/>
      <c r="AX43" s="67"/>
      <c r="AY43" s="67"/>
      <c r="AZ43" s="67"/>
      <c r="BA43" s="67"/>
      <c r="BB43" s="67"/>
      <c r="BC43" s="67"/>
      <c r="BD43" s="67"/>
      <c r="BE43" s="67"/>
      <c r="BF43" s="67"/>
      <c r="BG43" s="67"/>
      <c r="BH43" s="67"/>
      <c r="BI43" s="67"/>
      <c r="BJ43" s="67"/>
      <c r="BK43" s="67"/>
      <c r="BL43" s="67"/>
      <c r="BM43" s="67"/>
    </row>
    <row r="44" spans="1:65" s="40" customFormat="1" ht="30" hidden="1" customHeight="1" thickBot="1" x14ac:dyDescent="0.35">
      <c r="A44" s="7"/>
      <c r="B44" s="68"/>
      <c r="C44" s="69"/>
      <c r="D44" s="69"/>
      <c r="E44" s="70">
        <v>0.25</v>
      </c>
      <c r="F44" s="71">
        <f>F38+2</f>
        <v>19</v>
      </c>
      <c r="G44" s="71">
        <f>F44+3</f>
        <v>22</v>
      </c>
      <c r="H44" s="11"/>
      <c r="I44" s="5">
        <f t="shared" si="4"/>
        <v>4</v>
      </c>
      <c r="J44" s="41"/>
      <c r="K44" s="41"/>
      <c r="L44" s="41"/>
      <c r="M44" s="41"/>
      <c r="N44" s="41"/>
      <c r="O44" s="41"/>
      <c r="P44" s="41"/>
      <c r="Q44" s="41"/>
      <c r="R44" s="41"/>
      <c r="S44" s="41"/>
      <c r="T44" s="41"/>
      <c r="U44" s="41"/>
      <c r="V44" s="41"/>
      <c r="W44" s="41"/>
      <c r="X44" s="41"/>
      <c r="Y44" s="41"/>
      <c r="Z44" s="41"/>
      <c r="AA44" s="41"/>
      <c r="AB44" s="41"/>
      <c r="AC44" s="41"/>
      <c r="AD44" s="41"/>
      <c r="AE44" s="41"/>
      <c r="AF44" s="41"/>
      <c r="AG44" s="41"/>
      <c r="AH44" s="41"/>
      <c r="AI44" s="41"/>
      <c r="AJ44" s="41"/>
      <c r="AK44" s="41"/>
      <c r="AL44" s="41"/>
      <c r="AM44" s="41"/>
      <c r="AN44" s="41"/>
      <c r="AO44" s="41"/>
      <c r="AP44" s="41"/>
      <c r="AQ44" s="41"/>
      <c r="AR44" s="41"/>
      <c r="AS44" s="41"/>
      <c r="AT44" s="41"/>
      <c r="AU44" s="41"/>
      <c r="AV44" s="41"/>
      <c r="AW44" s="41"/>
      <c r="AX44" s="41"/>
      <c r="AY44" s="41"/>
      <c r="AZ44" s="41"/>
      <c r="BA44" s="41"/>
      <c r="BB44" s="41"/>
      <c r="BC44" s="41"/>
      <c r="BD44" s="41"/>
      <c r="BE44" s="41"/>
      <c r="BF44" s="41"/>
      <c r="BG44" s="41"/>
      <c r="BH44" s="41"/>
      <c r="BI44" s="41"/>
      <c r="BJ44" s="41"/>
      <c r="BK44" s="41"/>
      <c r="BL44" s="41"/>
      <c r="BM44" s="41"/>
    </row>
    <row r="45" spans="1:65" s="40" customFormat="1" ht="30" hidden="1" customHeight="1" thickBot="1" x14ac:dyDescent="0.35">
      <c r="A45" s="7"/>
      <c r="B45" s="68"/>
      <c r="C45" s="69"/>
      <c r="D45" s="69"/>
      <c r="E45" s="70">
        <v>0.25</v>
      </c>
      <c r="F45" s="71">
        <f>G44</f>
        <v>22</v>
      </c>
      <c r="G45" s="71">
        <f>F45+4</f>
        <v>26</v>
      </c>
      <c r="H45" s="11"/>
      <c r="I45" s="5">
        <f t="shared" si="4"/>
        <v>5</v>
      </c>
      <c r="J45" s="41"/>
      <c r="K45" s="41"/>
      <c r="L45" s="41"/>
      <c r="M45" s="41"/>
      <c r="N45" s="41"/>
      <c r="O45" s="41"/>
      <c r="P45" s="41"/>
      <c r="Q45" s="41"/>
      <c r="R45" s="41"/>
      <c r="S45" s="41"/>
      <c r="T45" s="41"/>
      <c r="U45" s="41"/>
      <c r="V45" s="41"/>
      <c r="W45" s="41"/>
      <c r="X45" s="41"/>
      <c r="Y45" s="41"/>
      <c r="Z45" s="41"/>
      <c r="AA45" s="41"/>
      <c r="AB45" s="41"/>
      <c r="AC45" s="41"/>
      <c r="AD45" s="41"/>
      <c r="AE45" s="41"/>
      <c r="AF45" s="41"/>
      <c r="AG45" s="41"/>
      <c r="AH45" s="41"/>
      <c r="AI45" s="41"/>
      <c r="AJ45" s="41"/>
      <c r="AK45" s="41"/>
      <c r="AL45" s="41"/>
      <c r="AM45" s="41"/>
      <c r="AN45" s="41"/>
      <c r="AO45" s="41"/>
      <c r="AP45" s="41"/>
      <c r="AQ45" s="41"/>
      <c r="AR45" s="41"/>
      <c r="AS45" s="41"/>
      <c r="AT45" s="41"/>
      <c r="AU45" s="41"/>
      <c r="AV45" s="41"/>
      <c r="AW45" s="41"/>
      <c r="AX45" s="41"/>
      <c r="AY45" s="41"/>
      <c r="AZ45" s="41"/>
      <c r="BA45" s="41"/>
      <c r="BB45" s="41"/>
      <c r="BC45" s="41"/>
      <c r="BD45" s="41"/>
      <c r="BE45" s="41"/>
      <c r="BF45" s="41"/>
      <c r="BG45" s="41"/>
      <c r="BH45" s="41"/>
      <c r="BI45" s="41"/>
      <c r="BJ45" s="41"/>
      <c r="BK45" s="41"/>
      <c r="BL45" s="41"/>
      <c r="BM45" s="41"/>
    </row>
    <row r="46" spans="1:65" s="40" customFormat="1" ht="30" hidden="1" customHeight="1" thickBot="1" x14ac:dyDescent="0.35">
      <c r="A46" s="7"/>
      <c r="B46" s="68"/>
      <c r="C46" s="69"/>
      <c r="D46" s="69"/>
      <c r="E46" s="70">
        <v>0.5</v>
      </c>
      <c r="F46" s="71">
        <f>G45+1</f>
        <v>27</v>
      </c>
      <c r="G46" s="71">
        <f>F46+3</f>
        <v>30</v>
      </c>
      <c r="H46" s="11"/>
      <c r="I46" s="5">
        <f t="shared" si="4"/>
        <v>4</v>
      </c>
      <c r="J46" s="41"/>
      <c r="K46" s="41"/>
      <c r="L46" s="41"/>
      <c r="M46" s="41"/>
      <c r="N46" s="41"/>
      <c r="O46" s="41"/>
      <c r="P46" s="41"/>
      <c r="Q46" s="41"/>
      <c r="R46" s="41"/>
      <c r="S46" s="41"/>
      <c r="T46" s="41"/>
      <c r="U46" s="41"/>
      <c r="V46" s="41"/>
      <c r="W46" s="41"/>
      <c r="X46" s="41"/>
      <c r="Y46" s="41"/>
      <c r="Z46" s="41"/>
      <c r="AA46" s="41"/>
      <c r="AB46" s="41"/>
      <c r="AC46" s="41"/>
      <c r="AD46" s="41"/>
      <c r="AE46" s="41"/>
      <c r="AF46" s="41"/>
      <c r="AG46" s="41"/>
      <c r="AH46" s="41"/>
      <c r="AI46" s="41"/>
      <c r="AJ46" s="41"/>
      <c r="AK46" s="41"/>
      <c r="AL46" s="41"/>
      <c r="AM46" s="41"/>
      <c r="AN46" s="41"/>
      <c r="AO46" s="41"/>
      <c r="AP46" s="41"/>
      <c r="AQ46" s="41"/>
      <c r="AR46" s="41"/>
      <c r="AS46" s="41"/>
      <c r="AT46" s="41"/>
      <c r="AU46" s="41"/>
      <c r="AV46" s="41"/>
      <c r="AW46" s="41"/>
      <c r="AX46" s="41"/>
      <c r="AY46" s="41"/>
      <c r="AZ46" s="41"/>
      <c r="BA46" s="41"/>
      <c r="BB46" s="41"/>
      <c r="BC46" s="41"/>
      <c r="BD46" s="41"/>
      <c r="BE46" s="41"/>
      <c r="BF46" s="41"/>
      <c r="BG46" s="41"/>
      <c r="BH46" s="41"/>
      <c r="BI46" s="41"/>
      <c r="BJ46" s="41"/>
      <c r="BK46" s="41"/>
      <c r="BL46" s="41"/>
      <c r="BM46" s="41"/>
    </row>
    <row r="47" spans="1:65" s="40" customFormat="1" ht="30" hidden="1" customHeight="1" thickBot="1" x14ac:dyDescent="0.35">
      <c r="A47" s="7"/>
      <c r="B47" s="68"/>
      <c r="C47" s="69"/>
      <c r="D47" s="69"/>
      <c r="E47" s="70">
        <v>0.6</v>
      </c>
      <c r="F47" s="71">
        <f>F44+5</f>
        <v>24</v>
      </c>
      <c r="G47" s="71">
        <f>F47+3</f>
        <v>27</v>
      </c>
      <c r="H47" s="11"/>
      <c r="I47" s="5">
        <f t="shared" si="4"/>
        <v>4</v>
      </c>
      <c r="J47" s="41"/>
      <c r="K47" s="41"/>
      <c r="L47" s="41"/>
      <c r="M47" s="41"/>
      <c r="N47" s="41"/>
      <c r="O47" s="41"/>
      <c r="P47" s="41"/>
      <c r="Q47" s="41"/>
      <c r="R47" s="41"/>
      <c r="S47" s="41"/>
      <c r="T47" s="41"/>
      <c r="U47" s="41"/>
      <c r="V47" s="41"/>
      <c r="W47" s="41"/>
      <c r="X47" s="41"/>
      <c r="Y47" s="41"/>
      <c r="Z47" s="41"/>
      <c r="AA47" s="41"/>
      <c r="AB47" s="41"/>
      <c r="AC47" s="41"/>
      <c r="AD47" s="41"/>
      <c r="AE47" s="41"/>
      <c r="AF47" s="41"/>
      <c r="AG47" s="41"/>
      <c r="AH47" s="41"/>
      <c r="AI47" s="41"/>
      <c r="AJ47" s="41"/>
      <c r="AK47" s="41"/>
      <c r="AL47" s="41"/>
      <c r="AM47" s="41"/>
      <c r="AN47" s="41"/>
      <c r="AO47" s="41"/>
      <c r="AP47" s="41"/>
      <c r="AQ47" s="41"/>
      <c r="AR47" s="41"/>
      <c r="AS47" s="41"/>
      <c r="AT47" s="41"/>
      <c r="AU47" s="41"/>
      <c r="AV47" s="41"/>
      <c r="AW47" s="41"/>
      <c r="AX47" s="41"/>
      <c r="AY47" s="41"/>
      <c r="AZ47" s="41"/>
      <c r="BA47" s="41"/>
      <c r="BB47" s="41"/>
      <c r="BC47" s="41"/>
      <c r="BD47" s="41"/>
      <c r="BE47" s="41"/>
      <c r="BF47" s="41"/>
      <c r="BG47" s="41"/>
      <c r="BH47" s="41"/>
      <c r="BI47" s="41"/>
      <c r="BJ47" s="41"/>
      <c r="BK47" s="41"/>
      <c r="BL47" s="41"/>
      <c r="BM47" s="41"/>
    </row>
    <row r="48" spans="1:65" s="40" customFormat="1" ht="30" hidden="1" customHeight="1" thickBot="1" x14ac:dyDescent="0.35">
      <c r="A48" s="7"/>
      <c r="B48" s="68"/>
      <c r="C48" s="69"/>
      <c r="D48" s="69"/>
      <c r="E48" s="70">
        <v>0.5</v>
      </c>
      <c r="F48" s="71">
        <f>F44+7</f>
        <v>26</v>
      </c>
      <c r="G48" s="71">
        <f>F48+5</f>
        <v>31</v>
      </c>
      <c r="H48" s="11"/>
      <c r="I48" s="5">
        <f t="shared" si="4"/>
        <v>6</v>
      </c>
      <c r="J48" s="41"/>
      <c r="K48" s="41"/>
      <c r="L48" s="41"/>
      <c r="M48" s="41"/>
      <c r="N48" s="41"/>
      <c r="O48" s="41"/>
      <c r="P48" s="41"/>
      <c r="Q48" s="41"/>
      <c r="R48" s="41"/>
      <c r="S48" s="41"/>
      <c r="T48" s="41"/>
      <c r="U48" s="41"/>
      <c r="V48" s="41"/>
      <c r="W48" s="41"/>
      <c r="X48" s="41"/>
      <c r="Y48" s="41"/>
      <c r="Z48" s="41"/>
      <c r="AA48" s="41"/>
      <c r="AB48" s="41"/>
      <c r="AC48" s="41"/>
      <c r="AD48" s="41"/>
      <c r="AE48" s="41"/>
      <c r="AF48" s="41"/>
      <c r="AG48" s="41"/>
      <c r="AH48" s="41"/>
      <c r="AI48" s="41"/>
      <c r="AJ48" s="41"/>
      <c r="AK48" s="41"/>
      <c r="AL48" s="41"/>
      <c r="AM48" s="41"/>
      <c r="AN48" s="41"/>
      <c r="AO48" s="41"/>
      <c r="AP48" s="41"/>
      <c r="AQ48" s="41"/>
      <c r="AR48" s="41"/>
      <c r="AS48" s="41"/>
      <c r="AT48" s="41"/>
      <c r="AU48" s="41"/>
      <c r="AV48" s="41"/>
      <c r="AW48" s="41"/>
      <c r="AX48" s="41"/>
      <c r="AY48" s="41"/>
      <c r="AZ48" s="41"/>
      <c r="BA48" s="41"/>
      <c r="BB48" s="41"/>
      <c r="BC48" s="41"/>
      <c r="BD48" s="41"/>
      <c r="BE48" s="41"/>
      <c r="BF48" s="41"/>
      <c r="BG48" s="41"/>
      <c r="BH48" s="41"/>
      <c r="BI48" s="41"/>
      <c r="BJ48" s="41"/>
      <c r="BK48" s="41"/>
      <c r="BL48" s="41"/>
      <c r="BM48" s="41"/>
    </row>
    <row r="49" spans="1:65" s="40" customFormat="1" ht="30" customHeight="1" thickBot="1" x14ac:dyDescent="0.35">
      <c r="A49" s="7"/>
      <c r="B49" s="72"/>
      <c r="C49" s="73"/>
      <c r="D49" s="73"/>
      <c r="E49" s="74"/>
      <c r="F49" s="75"/>
      <c r="G49" s="75"/>
      <c r="H49" s="11"/>
      <c r="I49" s="5" t="str">
        <f t="shared" si="4"/>
        <v/>
      </c>
      <c r="J49" s="39"/>
      <c r="K49" s="39"/>
      <c r="L49" s="39"/>
      <c r="M49" s="39"/>
      <c r="N49" s="39"/>
      <c r="O49" s="39"/>
      <c r="P49" s="39"/>
      <c r="Q49" s="39"/>
      <c r="R49" s="39"/>
      <c r="S49" s="39"/>
      <c r="T49" s="39"/>
      <c r="U49" s="39"/>
      <c r="V49" s="39"/>
      <c r="W49" s="39"/>
      <c r="X49" s="39"/>
      <c r="Y49" s="39"/>
      <c r="Z49" s="39"/>
      <c r="AA49" s="39"/>
      <c r="AB49" s="39"/>
      <c r="AC49" s="39"/>
      <c r="AD49" s="39"/>
      <c r="AE49" s="39"/>
      <c r="AF49" s="39"/>
      <c r="AG49" s="39"/>
      <c r="AH49" s="39"/>
      <c r="AI49" s="39"/>
      <c r="AJ49" s="39"/>
      <c r="AK49" s="39"/>
      <c r="AL49" s="39"/>
      <c r="AM49" s="39"/>
      <c r="AN49" s="39"/>
      <c r="AO49" s="39"/>
      <c r="AP49" s="39"/>
      <c r="AQ49" s="39"/>
      <c r="AR49" s="39"/>
      <c r="AS49" s="39"/>
      <c r="AT49" s="39"/>
      <c r="AU49" s="39"/>
      <c r="AV49" s="39"/>
      <c r="AW49" s="39"/>
      <c r="AX49" s="39"/>
      <c r="AY49" s="39"/>
      <c r="AZ49" s="39"/>
      <c r="BA49" s="39"/>
      <c r="BB49" s="39"/>
      <c r="BC49" s="39"/>
      <c r="BD49" s="39"/>
      <c r="BE49" s="39"/>
      <c r="BF49" s="39"/>
      <c r="BG49" s="39"/>
      <c r="BH49" s="39"/>
      <c r="BI49" s="39"/>
      <c r="BJ49" s="39"/>
      <c r="BK49" s="39"/>
      <c r="BL49" s="39"/>
      <c r="BM49" s="39"/>
    </row>
    <row r="50" spans="1:65" s="40" customFormat="1" ht="30" customHeight="1" thickBot="1" x14ac:dyDescent="0.35">
      <c r="A50" s="8"/>
      <c r="B50" s="76" t="s">
        <v>0</v>
      </c>
      <c r="C50" s="77"/>
      <c r="D50" s="77"/>
      <c r="E50" s="78"/>
      <c r="F50" s="79"/>
      <c r="G50" s="80"/>
      <c r="H50" s="11"/>
      <c r="I50" s="6" t="str">
        <f t="shared" si="4"/>
        <v/>
      </c>
      <c r="J50" s="81"/>
      <c r="K50" s="81"/>
      <c r="L50" s="81"/>
      <c r="M50" s="81"/>
      <c r="N50" s="81"/>
      <c r="O50" s="81"/>
      <c r="P50" s="81"/>
      <c r="Q50" s="81"/>
      <c r="R50" s="81"/>
      <c r="S50" s="81"/>
      <c r="T50" s="81"/>
      <c r="U50" s="81"/>
      <c r="V50" s="81"/>
      <c r="W50" s="81"/>
      <c r="X50" s="81"/>
      <c r="Y50" s="81"/>
      <c r="Z50" s="81"/>
      <c r="AA50" s="81"/>
      <c r="AB50" s="81"/>
      <c r="AC50" s="81"/>
      <c r="AD50" s="81"/>
      <c r="AE50" s="81"/>
      <c r="AF50" s="81"/>
      <c r="AG50" s="81"/>
      <c r="AH50" s="81"/>
      <c r="AI50" s="81"/>
      <c r="AJ50" s="81"/>
      <c r="AK50" s="81"/>
      <c r="AL50" s="81"/>
      <c r="AM50" s="81"/>
      <c r="AN50" s="81"/>
      <c r="AO50" s="81"/>
      <c r="AP50" s="81"/>
      <c r="AQ50" s="81"/>
      <c r="AR50" s="81"/>
      <c r="AS50" s="81"/>
      <c r="AT50" s="81"/>
      <c r="AU50" s="81"/>
      <c r="AV50" s="81"/>
      <c r="AW50" s="81"/>
      <c r="AX50" s="81"/>
      <c r="AY50" s="81"/>
      <c r="AZ50" s="81"/>
      <c r="BA50" s="81"/>
      <c r="BB50" s="81"/>
      <c r="BC50" s="81"/>
      <c r="BD50" s="81"/>
      <c r="BE50" s="81"/>
      <c r="BF50" s="81"/>
      <c r="BG50" s="81"/>
      <c r="BH50" s="81"/>
      <c r="BI50" s="81"/>
      <c r="BJ50" s="81"/>
      <c r="BK50" s="81"/>
      <c r="BL50" s="81"/>
      <c r="BM50" s="81"/>
    </row>
    <row r="51" spans="1:65" ht="30" customHeight="1" x14ac:dyDescent="0.3">
      <c r="H51" s="3"/>
    </row>
    <row r="52" spans="1:65" ht="30" customHeight="1" x14ac:dyDescent="0.3">
      <c r="C52" s="10"/>
      <c r="D52" s="10"/>
      <c r="G52" s="9"/>
    </row>
    <row r="53" spans="1:65" ht="30" customHeight="1" x14ac:dyDescent="0.3">
      <c r="C53" s="4"/>
      <c r="D53" s="4"/>
    </row>
  </sheetData>
  <mergeCells count="19">
    <mergeCell ref="AZ4:BF4"/>
    <mergeCell ref="BG4:BM4"/>
    <mergeCell ref="A5:A6"/>
    <mergeCell ref="B5:B6"/>
    <mergeCell ref="C5:C6"/>
    <mergeCell ref="E5:E6"/>
    <mergeCell ref="F5:F6"/>
    <mergeCell ref="G5:G6"/>
    <mergeCell ref="D5:D6"/>
    <mergeCell ref="AE4:AK4"/>
    <mergeCell ref="AL4:AR4"/>
    <mergeCell ref="AS4:AY4"/>
    <mergeCell ref="J1:P1"/>
    <mergeCell ref="R1:AA1"/>
    <mergeCell ref="J2:P2"/>
    <mergeCell ref="R2:AA2"/>
    <mergeCell ref="J4:P4"/>
    <mergeCell ref="Q4:W4"/>
    <mergeCell ref="X4:AD4"/>
  </mergeCells>
  <conditionalFormatting sqref="E7:E50">
    <cfRule type="dataBar" priority="8">
      <dataBar>
        <cfvo type="num" val="0"/>
        <cfvo type="num" val="1"/>
        <color theme="0"/>
      </dataBar>
      <extLst>
        <ext xmlns:x14="http://schemas.microsoft.com/office/spreadsheetml/2009/9/main" uri="{B025F937-C7B1-47D3-B67F-A62EFF666E3E}">
          <x14:id>{2C75CB3E-6CF8-4DAD-80CE-3255CC0F3A2D}</x14:id>
        </ext>
      </extLst>
    </cfRule>
  </conditionalFormatting>
  <conditionalFormatting sqref="J4:BM48">
    <cfRule type="expression" dxfId="8" priority="1">
      <formula>AND(TODAY()&gt;=J$5, TODAY()&lt;K$5)</formula>
    </cfRule>
  </conditionalFormatting>
  <conditionalFormatting sqref="J9:BM24">
    <cfRule type="expression" dxfId="7" priority="6">
      <formula>AND(task_start&lt;=J$5,ROUNDDOWN((task_end-task_start+1)*task_progress,0)+task_start-1&gt;=J$5)</formula>
    </cfRule>
    <cfRule type="expression" dxfId="6" priority="7" stopIfTrue="1">
      <formula>AND(task_end&gt;=J$5,task_start&lt;K$5)</formula>
    </cfRule>
  </conditionalFormatting>
  <conditionalFormatting sqref="J26:BM30">
    <cfRule type="expression" dxfId="5" priority="4">
      <formula>AND(task_start&lt;=J$5,ROUNDDOWN((task_end-task_start+1)*task_progress,0)+task_start-1&gt;=J$5)</formula>
    </cfRule>
    <cfRule type="expression" dxfId="4" priority="5" stopIfTrue="1">
      <formula>AND(task_end&gt;=J$5,task_start&lt;K$5)</formula>
    </cfRule>
  </conditionalFormatting>
  <conditionalFormatting sqref="J32:BM36">
    <cfRule type="expression" dxfId="3" priority="2">
      <formula>AND(task_start&lt;=J$5,ROUNDDOWN((task_end-task_start+1)*task_progress,0)+task_start-1&gt;=J$5)</formula>
    </cfRule>
    <cfRule type="expression" dxfId="2" priority="3" stopIfTrue="1">
      <formula>AND(task_end&gt;=J$5,task_start&lt;K$5)</formula>
    </cfRule>
  </conditionalFormatting>
  <conditionalFormatting sqref="J38:BM42 J44:BM48">
    <cfRule type="expression" dxfId="1" priority="9">
      <formula>AND(task_start&lt;=J$5,ROUNDDOWN((task_end-task_start+1)*task_progress,0)+task_start-1&gt;=J$5)</formula>
    </cfRule>
    <cfRule type="expression" dxfId="0" priority="10" stopIfTrue="1">
      <formula>AND(task_end&gt;=J$5,task_start&lt;K$5)</formula>
    </cfRule>
  </conditionalFormatting>
  <dataValidations count="13">
    <dataValidation allowBlank="1" showInputMessage="1" showErrorMessage="1" prompt="This row marks the end of the Project Schedule. DO NOT enter anything in this row. _x000a_Insert new rows ABOVE this one to continue building out your Project Schedule." sqref="A50" xr:uid="{B134F846-B6D0-4484-86F7-266055181250}"/>
    <dataValidation allowBlank="1" showInputMessage="1" showErrorMessage="1" prompt="Phase 4's sample block starts in cell B26." sqref="A37 A43" xr:uid="{40E7025A-3F30-4598-91F9-06969B7EB7EB}"/>
    <dataValidation allowBlank="1" showInputMessage="1" showErrorMessage="1" prompt="Phase 3's sample block starts in cell B20." sqref="A31" xr:uid="{253C0C39-B7CC-4042-A4E7-3AC6F8830FD0}"/>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25" xr:uid="{25D2D905-68C1-43C6-872C-649A7F80C37E}"/>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4" xr:uid="{AA236AF3-AE78-4A13-8AF5-AA8FB1D95474}"/>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A13" xr:uid="{2CA7C566-20B4-40E4-AA05-49719B9CB740}"/>
    <dataValidation allowBlank="1" showInputMessage="1" showErrorMessage="1" prompt="Cell B8 contains the Phase 1 sample title. Enter a new title in cell B8._x000a_To delete the phase and work only from tasks, simply delete this row." sqref="A8" xr:uid="{639E9156-0ACF-447E-B39C-9622FF931BB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F8169334-CE42-46F8-9350-F8D8ABAF6D71}"/>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147FB442-A695-4883-8451-E935B74B5BA1}"/>
    <dataValidation allowBlank="1" showInputMessage="1" showErrorMessage="1" prompt="Enter the name of the Project Lead in cell C3. Enter the Project Start date in cell Q1. Project Start: label is in cell I1." sqref="A3" xr:uid="{8D89E7EB-5C8C-4943-9DEA-8C61589A41DD}"/>
    <dataValidation allowBlank="1" showInputMessage="1" showErrorMessage="1" prompt="Enter Company name in cel B2." sqref="A2" xr:uid="{072020F7-E18D-494F-BDFF-DA777D848507}"/>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43DDB926-A756-451F-B302-C7B2988C91F8}"/>
    <dataValidation type="whole" operator="greaterThanOrEqual" allowBlank="1" showInputMessage="1" promptTitle="Display Week" prompt="Changing this number will scroll the Gantt Chart view." sqref="R2" xr:uid="{E8B62077-7F7A-4FF9-A511-5EFC9F569D4B}">
      <formula1>1</formula1>
    </dataValidation>
  </dataValidations>
  <hyperlinks>
    <hyperlink ref="D8" r:id="rId1" xr:uid="{514F9F5D-B995-46A5-8C4A-3CCD38CEB5A8}"/>
    <hyperlink ref="D10" r:id="rId2" xr:uid="{5B8FB66F-C2D8-48B8-BAEC-BF87202545D9}"/>
    <hyperlink ref="D11" r:id="rId3" xr:uid="{0AF01EC4-B114-4E82-AEF7-EDC5E02ACD5F}"/>
    <hyperlink ref="D16" r:id="rId4" xr:uid="{68E250F3-A2CD-4131-8366-B50E05529016}"/>
  </hyperlinks>
  <printOptions horizontalCentered="1"/>
  <pageMargins left="0.35" right="0.35" top="0.35" bottom="0.5" header="0.3" footer="0.3"/>
  <pageSetup scale="57" fitToHeight="0" orientation="landscape" r:id="rId5"/>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2C75CB3E-6CF8-4DAD-80CE-3255CC0F3A2D}">
            <x14:dataBar minLength="0" maxLength="100" gradient="0">
              <x14:cfvo type="num">
                <xm:f>0</xm:f>
              </x14:cfvo>
              <x14:cfvo type="num">
                <xm:f>1</xm:f>
              </x14:cfvo>
              <x14:negativeFillColor rgb="FFFF0000"/>
              <x14:axisColor rgb="FF000000"/>
            </x14:dataBar>
          </x14:cfRule>
          <xm:sqref>E7:E50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2.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Project schedule</vt:lpstr>
      <vt:lpstr>'Project schedule'!Display_Week</vt:lpstr>
      <vt:lpstr>'Project schedule'!Print_Titles</vt:lpstr>
      <vt:lpstr>'Project schedule'!Project_Start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Bich Nguyen</dc:creator>
  <dc:description/>
  <cp:lastModifiedBy>BETH NGUYEN</cp:lastModifiedBy>
  <dcterms:created xsi:type="dcterms:W3CDTF">2022-03-11T22:41:12Z</dcterms:created>
  <dcterms:modified xsi:type="dcterms:W3CDTF">2025-10-27T18:56:06Z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